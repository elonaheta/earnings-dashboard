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ONA\Earnings.python\data\"/>
    </mc:Choice>
  </mc:AlternateContent>
  <xr:revisionPtr revIDLastSave="0" documentId="13_ncr:1_{7AEAC32A-C76D-4830-BFD1-DEE68E06C1B0}" xr6:coauthVersionLast="47" xr6:coauthVersionMax="47" xr10:uidLastSave="{00000000-0000-0000-0000-000000000000}"/>
  <bookViews>
    <workbookView xWindow="-108" yWindow="-108" windowWidth="23256" windowHeight="13896" tabRatio="804" firstSheet="6" activeTab="11" xr2:uid="{687E3A8D-F8FF-4150-B6EF-5B4D9C0D7B8D}"/>
  </bookViews>
  <sheets>
    <sheet name="13.12.2025                     " sheetId="25" r:id="rId1"/>
    <sheet name="12.12.2025                     " sheetId="20" r:id="rId2"/>
    <sheet name="11.12.2025                     " sheetId="21" r:id="rId3"/>
    <sheet name="10.12.2025                     " sheetId="22" r:id="rId4"/>
    <sheet name="09.12.2025                     " sheetId="26" r:id="rId5"/>
    <sheet name="08.12.2025                     " sheetId="27" r:id="rId6"/>
    <sheet name="06.12.2025                     " sheetId="28" r:id="rId7"/>
    <sheet name="05.12.2025                     " sheetId="29" r:id="rId8"/>
    <sheet name="04.12.2025                     " sheetId="30" r:id="rId9"/>
    <sheet name="03.12.2025                     " sheetId="31" r:id="rId10"/>
    <sheet name="02.12.2025                     " sheetId="3" r:id="rId11"/>
    <sheet name="01.12.2025                     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25" l="1"/>
  <c r="G13" i="25"/>
  <c r="I11" i="25"/>
  <c r="I10" i="25"/>
  <c r="I9" i="25"/>
  <c r="I8" i="25"/>
  <c r="I7" i="25"/>
  <c r="I6" i="25"/>
  <c r="I5" i="25"/>
  <c r="B2" i="25"/>
  <c r="B1" i="25"/>
  <c r="H13" i="20"/>
  <c r="G13" i="20"/>
  <c r="I11" i="20"/>
  <c r="I10" i="20"/>
  <c r="I9" i="20"/>
  <c r="I8" i="20"/>
  <c r="I7" i="20"/>
  <c r="I6" i="20"/>
  <c r="I5" i="20"/>
  <c r="B2" i="20"/>
  <c r="B1" i="20"/>
  <c r="B2" i="21"/>
  <c r="B1" i="21"/>
  <c r="H13" i="21"/>
  <c r="G13" i="21"/>
  <c r="I11" i="21"/>
  <c r="I10" i="21"/>
  <c r="I9" i="21"/>
  <c r="I8" i="21"/>
  <c r="I7" i="21"/>
  <c r="I6" i="21"/>
  <c r="I13" i="21" s="1"/>
  <c r="I5" i="21"/>
  <c r="I9" i="22"/>
  <c r="I11" i="22"/>
  <c r="I13" i="22"/>
  <c r="G13" i="22"/>
  <c r="H13" i="22"/>
  <c r="I10" i="22"/>
  <c r="I8" i="22"/>
  <c r="I7" i="22"/>
  <c r="I6" i="22"/>
  <c r="I5" i="22"/>
  <c r="B2" i="22"/>
  <c r="B1" i="22"/>
  <c r="H13" i="26"/>
  <c r="G13" i="26"/>
  <c r="I11" i="26"/>
  <c r="I10" i="26"/>
  <c r="I9" i="26"/>
  <c r="I8" i="26"/>
  <c r="I7" i="26"/>
  <c r="I6" i="26"/>
  <c r="I5" i="26"/>
  <c r="B2" i="26"/>
  <c r="B1" i="26"/>
  <c r="I13" i="27"/>
  <c r="H13" i="27"/>
  <c r="G13" i="27"/>
  <c r="I11" i="27"/>
  <c r="I10" i="27"/>
  <c r="I9" i="27"/>
  <c r="I8" i="27"/>
  <c r="I7" i="27"/>
  <c r="I6" i="27"/>
  <c r="I5" i="27"/>
  <c r="B2" i="27"/>
  <c r="B1" i="27"/>
  <c r="I6" i="29"/>
  <c r="I7" i="29"/>
  <c r="I8" i="29"/>
  <c r="I9" i="29"/>
  <c r="I10" i="29"/>
  <c r="I11" i="29"/>
  <c r="I10" i="28"/>
  <c r="I11" i="28"/>
  <c r="I9" i="28"/>
  <c r="H13" i="28"/>
  <c r="G13" i="28"/>
  <c r="I8" i="28"/>
  <c r="I7" i="28"/>
  <c r="I6" i="28"/>
  <c r="I5" i="28"/>
  <c r="B2" i="28"/>
  <c r="B1" i="28"/>
  <c r="H13" i="29"/>
  <c r="G13" i="29"/>
  <c r="I5" i="29"/>
  <c r="B2" i="29"/>
  <c r="B1" i="29"/>
  <c r="H13" i="30"/>
  <c r="G13" i="30"/>
  <c r="I11" i="30"/>
  <c r="I10" i="30"/>
  <c r="I9" i="30"/>
  <c r="I8" i="30"/>
  <c r="I7" i="30"/>
  <c r="I6" i="30"/>
  <c r="I5" i="30"/>
  <c r="B2" i="30"/>
  <c r="B1" i="30"/>
  <c r="I11" i="31"/>
  <c r="I10" i="31"/>
  <c r="I9" i="31"/>
  <c r="I8" i="31"/>
  <c r="I7" i="31"/>
  <c r="I6" i="31"/>
  <c r="I5" i="31"/>
  <c r="B1" i="31"/>
  <c r="B1" i="3"/>
  <c r="I13" i="31"/>
  <c r="I11" i="3"/>
  <c r="I10" i="3"/>
  <c r="I9" i="3"/>
  <c r="I8" i="3"/>
  <c r="I7" i="3"/>
  <c r="I6" i="3"/>
  <c r="I5" i="3"/>
  <c r="H13" i="31"/>
  <c r="G13" i="31"/>
  <c r="B2" i="31"/>
  <c r="H13" i="3"/>
  <c r="G13" i="3"/>
  <c r="B2" i="3"/>
  <c r="H13" i="2"/>
  <c r="G13" i="2"/>
  <c r="I11" i="2"/>
  <c r="I10" i="2"/>
  <c r="I9" i="2"/>
  <c r="I8" i="2"/>
  <c r="I7" i="2"/>
  <c r="I6" i="2"/>
  <c r="I5" i="2"/>
  <c r="B2" i="2"/>
  <c r="B1" i="2"/>
  <c r="I13" i="25" l="1"/>
  <c r="I13" i="20"/>
  <c r="I13" i="26"/>
  <c r="I13" i="28"/>
  <c r="I13" i="29"/>
  <c r="I13" i="30"/>
  <c r="I13" i="3"/>
  <c r="I13" i="2"/>
</calcChain>
</file>

<file path=xl/sharedStrings.xml><?xml version="1.0" encoding="utf-8"?>
<sst xmlns="http://schemas.openxmlformats.org/spreadsheetml/2006/main" count="344" uniqueCount="28">
  <si>
    <t>Nr. Kuponave:</t>
  </si>
  <si>
    <t>DATA:</t>
  </si>
  <si>
    <t>Nr. Vijave:</t>
  </si>
  <si>
    <t>ARKA</t>
  </si>
  <si>
    <t>Emri</t>
  </si>
  <si>
    <t>Realcioni</t>
  </si>
  <si>
    <t>Kupona</t>
  </si>
  <si>
    <t>Vija</t>
  </si>
  <si>
    <t>Raporti</t>
  </si>
  <si>
    <t>Pagesa</t>
  </si>
  <si>
    <t>Perona</t>
  </si>
  <si>
    <t>TOTAL</t>
  </si>
  <si>
    <t>S.S</t>
  </si>
  <si>
    <t>N.V</t>
  </si>
  <si>
    <t>K.H</t>
  </si>
  <si>
    <t>S.T</t>
  </si>
  <si>
    <t>F.K</t>
  </si>
  <si>
    <t>Prishtin</t>
  </si>
  <si>
    <t>Viti</t>
  </si>
  <si>
    <t>Gilan</t>
  </si>
  <si>
    <t>NS18004111</t>
  </si>
  <si>
    <t>NS18004112</t>
  </si>
  <si>
    <t>NS18004113</t>
  </si>
  <si>
    <t>NS18004114</t>
  </si>
  <si>
    <t>NS18004115</t>
  </si>
  <si>
    <t>NS18004116</t>
  </si>
  <si>
    <t>NS18004117</t>
  </si>
  <si>
    <t>Relacioni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</si>
</sst>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#,##0.00\ [$€-1]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30"/>
      <color theme="1"/>
      <name val="Balloon XBd BT"/>
      <family val="4"/>
    </font>
    <font>
      <sz val="11"/>
      <color theme="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1"/>
      <color theme="1"/>
      <name val="Calibri Light"/>
      <scheme val="major"/>
    </font>
    <font>
      <sz val="12"/>
      <color theme="1"/>
      <name val="Calibri Light"/>
      <family val="2"/>
      <scheme val="major"/>
    </font>
    <font>
      <sz val="12"/>
      <color theme="1"/>
      <name val="Calibri Light"/>
      <scheme val="major"/>
    </font>
    <font>
      <b/>
      <sz val="12"/>
      <color theme="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1" applyFont="1" applyAlignment="1">
      <alignment horizontal="center" vertical="center"/>
    </xf>
    <xf numFmtId="0" fontId="6" fillId="2" borderId="0" xfId="1" applyFont="1" applyAlignment="1">
      <alignment horizontal="center" vertical="center"/>
    </xf>
    <xf numFmtId="0" fontId="7" fillId="2" borderId="0" xfId="1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9" fillId="0" borderId="0" xfId="0" applyNumberFormat="1" applyFont="1" applyAlignment="1" applyProtection="1">
      <alignment horizontal="center" vertical="center"/>
      <protection locked="0"/>
    </xf>
    <xf numFmtId="165" fontId="8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10" fillId="0" borderId="0" xfId="0" applyNumberFormat="1" applyFont="1" applyAlignment="1" applyProtection="1">
      <alignment horizontal="center" vertical="center"/>
      <protection locked="0"/>
    </xf>
    <xf numFmtId="165" fontId="9" fillId="0" borderId="0" xfId="0" applyNumberFormat="1" applyFont="1" applyAlignment="1">
      <alignment horizontal="center" vertical="center"/>
    </xf>
    <xf numFmtId="165" fontId="2" fillId="0" borderId="0" xfId="0" applyNumberFormat="1" applyFont="1" applyAlignment="1" applyProtection="1">
      <alignment horizontal="center" vertical="center"/>
      <protection locked="0"/>
    </xf>
    <xf numFmtId="165" fontId="11" fillId="0" borderId="0" xfId="0" applyNumberFormat="1" applyFont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2">
    <cellStyle name="Accent1" xfId="1" builtinId="29"/>
    <cellStyle name="Normal" xfId="0" builtinId="0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numFmt numFmtId="165" formatCode="#,##0.00\ [$€-1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0771AB6-C4F3-4647-9D1D-49897813EB49}" name="Table134567101112131415161718192021222324252627282930313233343536373839404142434445464748495052535455565758596061626364656667686970717273747576777879808182838485878889909192939495969798991001011021031041051061071081091101111121131141151161171181191201623" displayName="Table134567101112131415161718192021222324252627282930313233343536373839404142434445464748495052535455565758596061626364656667686970717273747576777879808182838485878889909192939495969798991001011021031041051061071081091101111121131141151161171181191201623" ref="A4:I11" totalsRowShown="0">
  <autoFilter ref="A4:I11" xr:uid="{C0771AB6-C4F3-4647-9D1D-49897813EB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98EF3D5-B16A-43E9-AB38-661039678731}" name="ARKA" dataDxfId="107"/>
    <tableColumn id="2" xr3:uid="{00BEBC32-2B2D-4A83-9CCF-C1A8B76CF513}" name="Emri" dataDxfId="106"/>
    <tableColumn id="3" xr3:uid="{46783222-4C34-4D3F-B8EF-8BFA0519E14B}" name="Realcioni" dataDxfId="105"/>
    <tableColumn id="4" xr3:uid="{3A3B9340-A64E-4FCE-BDEE-873A634B8807}" name="Kupona" dataDxfId="104"/>
    <tableColumn id="5" xr3:uid="{1935A35E-9C43-4A5C-B7D6-DDA81F8DBAC2}" name="Vija" dataDxfId="103"/>
    <tableColumn id="6" xr3:uid="{7F9E2E6D-28F0-4964-8D4E-13D54A03D097}" name="Raporti" dataDxfId="102"/>
    <tableColumn id="7" xr3:uid="{DE39F23D-820C-4F58-AF2B-674493403E99}" name="Pagesa" dataDxfId="101"/>
    <tableColumn id="8" xr3:uid="{5002DBAB-EA94-49A3-9248-827885C325AB}" name="Perona" dataDxfId="100"/>
    <tableColumn id="9" xr3:uid="{E4CF6AD9-EABA-4EC7-9032-0D96E56BA773}" name="TOTAL" dataDxfId="99">
      <calculatedColumnFormula>G5-H5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AC45812-FAFC-4CF4-817F-8BE3CC094622}" name="Table134567101112131415161718192021222324252627282930313233343536373839404142434445464748495052535455565758596061626364656667686970717273747576777879808182838485878889909192939495969798991001011021031041051061071081091101111121131141151161171181191201622" displayName="Table134567101112131415161718192021222324252627282930313233343536373839404142434445464748495052535455565758596061626364656667686970717273747576777879808182838485878889909192939495969798991001011021031041051061071081091101111121131141151161171181191201622" ref="A4:I11" totalsRowShown="0">
  <autoFilter ref="A4:I11" xr:uid="{1AC45812-FAFC-4CF4-817F-8BE3CC0946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AED934A-3FD0-4864-9A68-72783AF2DF9A}" name="ARKA" dataDxfId="98"/>
    <tableColumn id="2" xr3:uid="{7535759E-BF6E-40E2-BB2C-396CB521048B}" name="Emri" dataDxfId="97"/>
    <tableColumn id="3" xr3:uid="{E6B6007B-13D0-4B27-A14E-4850BDA41762}" name="Realcioni" dataDxfId="96"/>
    <tableColumn id="4" xr3:uid="{C946BB2B-3881-4B9E-BB8A-9B6CD4D571F7}" name="Kupona" dataDxfId="95"/>
    <tableColumn id="5" xr3:uid="{C1A31699-7455-4DEA-9F1C-DDA08795C3BC}" name="Vija" dataDxfId="94"/>
    <tableColumn id="6" xr3:uid="{6E135763-519E-4A3E-98CA-7992D242B95D}" name="Raporti" dataDxfId="93"/>
    <tableColumn id="7" xr3:uid="{E5824540-C54D-4D65-BE80-3FE3CC2A1E6E}" name="Pagesa" dataDxfId="92"/>
    <tableColumn id="8" xr3:uid="{E1F99032-6ED3-4B2E-A44A-E251E5F06B50}" name="Perona" dataDxfId="91"/>
    <tableColumn id="9" xr3:uid="{4513F5EF-4582-4E7A-BF5B-7380422BA1C0}" name="TOTAL" dataDxfId="90">
      <calculatedColumnFormula>G5-H5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6EB5DE-F37F-4970-B0D7-7A2735FE4DDB}" name="Table134567101112131415161718192021222324252627282930313233343536373839404142434445464748495052535455565758596061626364656667686970717273747576777879808182838485878889909192939495969798991001011021031041051061071081091101111121131141151161171181191201621" displayName="Table134567101112131415161718192021222324252627282930313233343536373839404142434445464748495052535455565758596061626364656667686970717273747576777879808182838485878889909192939495969798991001011021031041051061071081091101111121131141151161171181191201621" ref="A4:I11" totalsRowShown="0">
  <autoFilter ref="A4:I11" xr:uid="{046EB5DE-F37F-4970-B0D7-7A2735FE4D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8948AF2-5728-4279-A888-239AE9085405}" name="ARKA" dataDxfId="89"/>
    <tableColumn id="2" xr3:uid="{A0AEF13E-379C-49C7-8E7B-63A42A5C0D2C}" name="Emri" dataDxfId="88"/>
    <tableColumn id="3" xr3:uid="{8963C224-1AE8-4D79-A379-39C40367A0E9}" name="Realcioni" dataDxfId="87"/>
    <tableColumn id="4" xr3:uid="{D23494BE-0F7C-4477-80D3-527C89E7A90B}" name="Kupona" dataDxfId="86"/>
    <tableColumn id="5" xr3:uid="{875D2FC3-472F-46D8-8514-210A1589EBD2}" name="Vija" dataDxfId="85"/>
    <tableColumn id="6" xr3:uid="{A1C8BFD8-2AC9-4594-A287-BCB107F3E255}" name="Raporti" dataDxfId="84"/>
    <tableColumn id="7" xr3:uid="{EE3CFA24-3F67-4BB5-99A7-6FB098579D51}" name="Pagesa" dataDxfId="83"/>
    <tableColumn id="8" xr3:uid="{DAE8A927-DD16-452F-8638-15F56EE22C2D}" name="Perona" dataDxfId="82"/>
    <tableColumn id="9" xr3:uid="{2A4289C1-2665-48CD-8EFC-3A75FF453223}" name="TOTAL" dataDxfId="81">
      <calculatedColumnFormula>G5-H5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449F48-57EC-41AC-AC2E-0B22AEC62AE6}" name="Table134567101112131415161718192021222324252627282930313233343536373839404142434445464748495052535455565758596061626364656667686970717273747576777879808182838485878889909192939495969798991001011021031041051061071081091101111121131141151161171181191201620" displayName="Table134567101112131415161718192021222324252627282930313233343536373839404142434445464748495052535455565758596061626364656667686970717273747576777879808182838485878889909192939495969798991001011021031041051061071081091101111121131141151161171181191201620" ref="A4:I11" totalsRowShown="0">
  <autoFilter ref="A4:I11" xr:uid="{36449F48-57EC-41AC-AC2E-0B22AEC62A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5CB5E7B-8D83-4164-BC46-4E05D87C64A4}" name="ARKA" dataDxfId="80"/>
    <tableColumn id="2" xr3:uid="{919E467E-3AE2-4C42-B800-171ADC7E4F82}" name="Emri" dataDxfId="79"/>
    <tableColumn id="3" xr3:uid="{FB5BEB8F-B4DF-40E6-9D52-10F8D982D9DA}" name="Realcioni" dataDxfId="78"/>
    <tableColumn id="4" xr3:uid="{FFF0B32F-0E8F-4737-AD6C-659E1056F620}" name="Kupona" dataDxfId="77"/>
    <tableColumn id="5" xr3:uid="{0F87586F-01EF-4855-8EDF-93B044908D8B}" name="Vija" dataDxfId="76"/>
    <tableColumn id="6" xr3:uid="{AD748216-8B81-4FB0-8C51-C2C1718C078F}" name="Raporti" dataDxfId="75"/>
    <tableColumn id="7" xr3:uid="{21B26FAB-92A1-4A2E-9B6D-7B62350A0CED}" name="Pagesa" dataDxfId="74"/>
    <tableColumn id="8" xr3:uid="{194A36EF-4968-4B9D-872C-AD0B52F6C9A3}" name="Perona" dataDxfId="73"/>
    <tableColumn id="9" xr3:uid="{BFAD8D15-C109-4C14-B9EF-9C12C264680A}" name="TOTAL" dataDxfId="72">
      <calculatedColumnFormula>G5-H5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891DE8-6C4A-43F2-978D-FD75906A1FC8}" name="Table134567101112131415161718192021222324252627282930313233343536373839404142434445464748495052535455565758596061626364656667686970717273747576777879808182838485878889909192939495969798991001011021031041051061071081091101111121131141151161171181191201611" displayName="Table134567101112131415161718192021222324252627282930313233343536373839404142434445464748495052535455565758596061626364656667686970717273747576777879808182838485878889909192939495969798991001011021031041051061071081091101111121131141151161171181191201611" ref="A4:I11" totalsRowShown="0">
  <autoFilter ref="A4:I11" xr:uid="{9B891DE8-6C4A-43F2-978D-FD75906A1F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DE992AE-6051-46B7-B0A3-3F0AE7ED179F}" name="ARKA" dataDxfId="71"/>
    <tableColumn id="2" xr3:uid="{22E20D74-2CFB-4E84-A0B2-B80FA5CF639B}" name="Emri" dataDxfId="70"/>
    <tableColumn id="3" xr3:uid="{A854454D-BC1D-476C-BCBF-C984B81F248C}" name="Realcioni" dataDxfId="69"/>
    <tableColumn id="4" xr3:uid="{9AF4E86A-0E9F-49F7-A87A-DCF6898BDA9B}" name="Kupona" dataDxfId="68"/>
    <tableColumn id="5" xr3:uid="{73016DCE-B82B-471C-8A2B-A832C33EC968}" name="Vija" dataDxfId="67"/>
    <tableColumn id="6" xr3:uid="{5FE43388-BF8F-411A-AF13-84DA291D25A8}" name="Raporti" dataDxfId="66"/>
    <tableColumn id="7" xr3:uid="{A57103E9-EAD8-4EDA-8D46-B70DEAFCC365}" name="Pagesa" dataDxfId="65"/>
    <tableColumn id="8" xr3:uid="{1F6A388E-8F28-43B3-905E-015DADF8E6C4}" name="Perona" dataDxfId="64"/>
    <tableColumn id="9" xr3:uid="{59E044C6-670F-4AE6-B7AB-B8C733C6E7A2}" name="TOTAL" dataDxfId="63">
      <calculatedColumnFormula>G5-H5</calculatedColumnFormula>
    </tableColumn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1F2E4D-8A66-4E75-9D19-2662AB52F472}" name="Table134567101112131415161718192021222324252627282930313233343536373839404142434445464748495052535455565758596061626364656667686970717273747576777879808182838485878889909192939495969798991001011021031041051061071081091101111121131141151161171181191201619" displayName="Table134567101112131415161718192021222324252627282930313233343536373839404142434445464748495052535455565758596061626364656667686970717273747576777879808182838485878889909192939495969798991001011021031041051061071081091101111121131141151161171181191201619" ref="A4:I11" totalsRowShown="0">
  <autoFilter ref="A4:I11" xr:uid="{DE1F2E4D-8A66-4E75-9D19-2662AB52F4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4862052-352B-4A5B-BB0D-6F53BE285A32}" name="ARKA" dataDxfId="62"/>
    <tableColumn id="2" xr3:uid="{B16F39FC-DA17-4664-BD7A-609F4678713E}" name="Emri" dataDxfId="61"/>
    <tableColumn id="3" xr3:uid="{DFC8FD46-374D-420A-A6F8-63BC118DE17A}" name="Realcioni" dataDxfId="60"/>
    <tableColumn id="4" xr3:uid="{20410EA7-FD0F-426A-8B61-4071688968CD}" name="Kupona" dataDxfId="59"/>
    <tableColumn id="5" xr3:uid="{B4E20DFC-3BD1-431C-9471-80BA349E130D}" name="Vija" dataDxfId="58"/>
    <tableColumn id="6" xr3:uid="{066C47AE-2C14-4D61-BD55-62FA4B36E1A7}" name="Raporti" dataDxfId="57"/>
    <tableColumn id="7" xr3:uid="{972B9E3A-0AF7-4DCD-94D4-3BCED4E661B8}" name="Pagesa" dataDxfId="56"/>
    <tableColumn id="8" xr3:uid="{E0E90A6C-242F-4A6A-B17E-35C4E3C1CCD0}" name="Perona" dataDxfId="55"/>
    <tableColumn id="9" xr3:uid="{67FB14F8-3C58-417B-9E8C-E0E865300863}" name="TOTAL" dataDxfId="54">
      <calculatedColumnFormula>G5-H5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A5E2CD-3519-4093-A2A1-EB2C5F40EC64}" name="Table134567101112131415161718192021222324252627282930313233343536373839404142434445464748495052535455565758596061626364656667686970717273747576777879808182838485878889909192939495969798991001011021031041051061071081091101111121131141151161171181191201616" displayName="Table134567101112131415161718192021222324252627282930313233343536373839404142434445464748495052535455565758596061626364656667686970717273747576777879808182838485878889909192939495969798991001011021031041051061071081091101111121131141151161171181191201616" ref="A4:I11" totalsRowShown="0">
  <autoFilter ref="A4:I11" xr:uid="{97A5E2CD-3519-4093-A2A1-EB2C5F40EC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5FC06C5-5645-4736-8706-79331ABFC6CF}" name="ARKA" dataDxfId="53"/>
    <tableColumn id="2" xr3:uid="{F70552BD-91FC-4D4E-810F-C658DE4AE6C5}" name="Emri" dataDxfId="52"/>
    <tableColumn id="3" xr3:uid="{012CACE2-1D3F-4B42-A0BD-3E35C68D7D82}" name="Realcioni" dataDxfId="51"/>
    <tableColumn id="4" xr3:uid="{46FB65CB-5B58-4D3A-83F2-2A4F1F0C41DA}" name="Kupona" dataDxfId="50"/>
    <tableColumn id="5" xr3:uid="{637A28DE-D6E0-48ED-8DC4-BB06185BCA7B}" name="Vija" dataDxfId="49"/>
    <tableColumn id="6" xr3:uid="{4F67A080-1D9B-4359-AA00-6C8E24C72B28}" name="Raporti" dataDxfId="48"/>
    <tableColumn id="7" xr3:uid="{7733B265-BF6C-428F-816E-0EAE0829CA31}" name="Pagesa" dataDxfId="47"/>
    <tableColumn id="8" xr3:uid="{C7B37B05-1C77-44A9-89C2-CFAF30B572BF}" name="Perona" dataDxfId="46"/>
    <tableColumn id="9" xr3:uid="{B484709D-207F-4372-9DB4-FBBEAF9CD9E3}" name="TOTAL" dataDxfId="45">
      <calculatedColumnFormula>G5-H5</calculatedColumnFormula>
    </tableColumn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73A943-97F2-4AEB-A0CD-2524523E6931}" name="Table134567101112131415161718192021222324252627282930313233343536373839404142434445464748495052535455565758596061626364656667686970717273747576777879808182838485878889909192939495969798991001011021031041051061071081091101111121131141151161171181191201615" displayName="Table134567101112131415161718192021222324252627282930313233343536373839404142434445464748495052535455565758596061626364656667686970717273747576777879808182838485878889909192939495969798991001011021031041051061071081091101111121131141151161171181191201615" ref="A4:I11" totalsRowShown="0">
  <autoFilter ref="A4:I11" xr:uid="{7773A943-97F2-4AEB-A0CD-2524523E69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9970C40-1BE7-42BE-BC53-A6EAF02F7634}" name="ARKA" dataDxfId="44"/>
    <tableColumn id="2" xr3:uid="{505C4EBA-3052-4BD8-B540-EDC345280750}" name="Emri" dataDxfId="43"/>
    <tableColumn id="3" xr3:uid="{A2E38D9F-9F97-48A4-90CF-8C4FE7B4A711}" name="Realcioni" dataDxfId="42"/>
    <tableColumn id="4" xr3:uid="{1A09C493-C0D0-4F0B-B7D7-A475D8543C70}" name="Kupona" dataDxfId="41"/>
    <tableColumn id="5" xr3:uid="{542CA910-E567-434A-8C38-EF375C45D81E}" name="Vija" dataDxfId="40"/>
    <tableColumn id="6" xr3:uid="{80E3CE58-2329-42F2-9B93-05D65BA24A50}" name="Raporti" dataDxfId="39"/>
    <tableColumn id="7" xr3:uid="{37A3D967-E639-419F-803D-053DC23D9045}" name="Pagesa" dataDxfId="38"/>
    <tableColumn id="8" xr3:uid="{BC9CD12B-B72C-432B-8D90-D83C4C846D78}" name="Perona" dataDxfId="37"/>
    <tableColumn id="9" xr3:uid="{B177121A-E9B0-4CE1-8896-0B5780E70F3E}" name="TOTAL" dataDxfId="36">
      <calculatedColumnFormula>G5-H5</calculatedColumnFormula>
    </tableColumn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3E4894-D64C-4410-A471-AC6F0C6F1923}" name="Table134567101112131415161718192021222324252627282930313233343536373839404142434445464748495052535455565758596061626364656667686970717273747576777879808182838485878889909192939495969798991001011021031041051061071081091101111121131141151161171181191201613" displayName="Table134567101112131415161718192021222324252627282930313233343536373839404142434445464748495052535455565758596061626364656667686970717273747576777879808182838485878889909192939495969798991001011021031041051061071081091101111121131141151161171181191201613" ref="A4:I11" totalsRowShown="0">
  <autoFilter ref="A4:I11" xr:uid="{EA3E4894-D64C-4410-A471-AC6F0C6F19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4E4850C-752A-46FE-BCC4-9AC95F4BC257}" name="ARKA" dataDxfId="35"/>
    <tableColumn id="2" xr3:uid="{C117FA68-6BD3-4FD3-B326-02AF728203E8}" name="Emri" dataDxfId="34"/>
    <tableColumn id="3" xr3:uid="{AF2B32E0-F0B3-49E1-9A11-3D6E34079A87}" name="Realcioni" dataDxfId="33"/>
    <tableColumn id="4" xr3:uid="{FA9E7723-344F-4CB9-BA71-780AE3E828CC}" name="Kupona" dataDxfId="32"/>
    <tableColumn id="5" xr3:uid="{A9DED5E1-C191-4E80-BEF0-7F4C6096CC2D}" name="Vija" dataDxfId="31"/>
    <tableColumn id="6" xr3:uid="{CCC9326C-B274-4963-A28F-202C90B7642F}" name="Raporti" dataDxfId="30"/>
    <tableColumn id="7" xr3:uid="{0F0DA8BC-03C8-435E-A82A-669C85BC1D19}" name="Pagesa" dataDxfId="29"/>
    <tableColumn id="8" xr3:uid="{7903DE38-6C9C-4E1D-ACC5-0F24B12CE05F}" name="Perona" dataDxfId="28"/>
    <tableColumn id="9" xr3:uid="{B57FB47A-6675-46F2-A9F9-79E1BADEED00}" name="TOTAL" dataDxfId="27">
      <calculatedColumnFormula>G5-H5</calculatedColumnFormula>
    </tableColumn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0039889-23DB-4B4F-8434-08FE92FBF08B}" name="Table134567101112131415161718192021222324252627282930313233343536373839404142434445464748495052535455565758596061626364656667686970717273747576777879808182838485878889909192939495969798991001011021031041051061071081091101111121131141151161171181191201614" displayName="Table134567101112131415161718192021222324252627282930313233343536373839404142434445464748495052535455565758596061626364656667686970717273747576777879808182838485878889909192939495969798991001011021031041051061071081091101111121131141151161171181191201614" ref="A4:I11" totalsRowShown="0">
  <autoFilter ref="A4:I11" xr:uid="{70039889-23DB-4B4F-8434-08FE92FBF0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3B92609-DD54-4D20-8556-1E6BCFE0AC9A}" name="ARKA" dataDxfId="26"/>
    <tableColumn id="2" xr3:uid="{BCD9EEC5-BAA2-4EB6-B328-914D18AE40B5}" name="Emri" dataDxfId="25"/>
    <tableColumn id="3" xr3:uid="{931C6AB8-7022-4CD9-AB09-D6CB4688866D}" name="Realcioni" dataDxfId="24"/>
    <tableColumn id="4" xr3:uid="{D38C215B-B3FE-4289-8A68-7B9149C44325}" name="Kupona" dataDxfId="23"/>
    <tableColumn id="5" xr3:uid="{CEB79342-C5CA-455C-B71C-41BC0B723D35}" name="Vija" dataDxfId="22"/>
    <tableColumn id="6" xr3:uid="{ECB8A8D4-2918-4858-8A5E-DFB33C50DFBE}" name="Raporti" dataDxfId="21"/>
    <tableColumn id="7" xr3:uid="{9E7C5D5C-A0AB-4272-BF52-3A091AA758D4}" name="Pagesa" dataDxfId="20"/>
    <tableColumn id="8" xr3:uid="{68E67360-5E2C-47EE-B6B6-65CA6C67090A}" name="Perona" dataDxfId="19"/>
    <tableColumn id="9" xr3:uid="{26C010F8-0A43-46AD-BE8D-0713DD866900}" name="TOTAL" dataDxfId="18">
      <calculatedColumnFormula>G5-H5</calculatedColumnFormula>
    </tableColumn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79E728-ADF7-430B-85FE-581A4D2A5239}" name="Table134567101112131415161718192021222324252627282930313233343536373839404142434445464748495052535455565758596061626364656667686970717273747576777879808182838485878889909192939495969798991001011021031041051061071081091101111121131141151161171181191201612" displayName="Table134567101112131415161718192021222324252627282930313233343536373839404142434445464748495052535455565758596061626364656667686970717273747576777879808182838485878889909192939495969798991001011021031041051061071081091101111121131141151161171181191201612" ref="A4:I11" totalsRowShown="0">
  <autoFilter ref="A4:I11" xr:uid="{F479E728-ADF7-430B-85FE-581A4D2A52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14E1AF4-6D05-4540-A175-E7B5AE94F4A9}" name="ARKA" dataDxfId="17"/>
    <tableColumn id="2" xr3:uid="{66C5DA4E-9CFD-4C7A-A9C1-BFFCAE8906D9}" name="Emri" dataDxfId="16"/>
    <tableColumn id="3" xr3:uid="{C21BB337-D0D2-4651-BC7C-13BDA14AE8E1}" name="Realcioni" dataDxfId="15"/>
    <tableColumn id="4" xr3:uid="{964A3B42-F8D0-4A18-8763-38B86589FBF7}" name="Kupona" dataDxfId="14"/>
    <tableColumn id="5" xr3:uid="{D46003D8-DEC9-42F1-9A35-C3B330A3B313}" name="Vija" dataDxfId="13"/>
    <tableColumn id="6" xr3:uid="{8E610C66-1987-4816-AAFB-664CACF7FC47}" name="Raporti" dataDxfId="12"/>
    <tableColumn id="7" xr3:uid="{B2462EFE-FC67-4CFC-9C88-22E442F33922}" name="Pagesa" dataDxfId="11"/>
    <tableColumn id="8" xr3:uid="{280D4C31-586E-4EFA-B1CC-87BB6A2C1EB8}" name="Perona" dataDxfId="10"/>
    <tableColumn id="9" xr3:uid="{8D09C06F-D3CA-4A57-B454-A833F1FFF64A}" name="TOTAL" dataDxfId="9">
      <calculatedColumnFormula>G5-H5</calculatedColumnFormula>
    </tableColumn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7C6A3F-CC3D-439F-A40A-3DBB7FAE2FB1}" name="Table134567101112131415161718192021222324252627282930313233343536373839404142434445464748495052535455565758596061626364656667686970717273747576777879808182838485878889909192939495969798991001011021031041051061071081091101111121131141151161171181191201618" displayName="Table134567101112131415161718192021222324252627282930313233343536373839404142434445464748495052535455565758596061626364656667686970717273747576777879808182838485878889909192939495969798991001011021031041051061071081091101111121131141151161171181191201618" ref="A4:I11" totalsRowShown="0">
  <autoFilter ref="A4:I11" xr:uid="{477C6A3F-CC3D-439F-A40A-3DBB7FAE2F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6BA4880-1F82-45F4-B708-EB3DF4BE7080}" name="ARKA" dataDxfId="8"/>
    <tableColumn id="2" xr3:uid="{0585EFF0-CD05-4991-B83C-3C4CBB75DAC6}" name="Emri" dataDxfId="7"/>
    <tableColumn id="3" xr3:uid="{93062F81-CA3C-478A-B248-B8B5458ECB89}" name="Relacioni" dataDxfId="6"/>
    <tableColumn id="4" xr3:uid="{3BB0A210-9A67-430E-B1C0-9C2239E14DD3}" name="Kupona" dataDxfId="5"/>
    <tableColumn id="5" xr3:uid="{5F2E80CD-8FCA-49CD-BA3F-C60746C803D5}" name="Vija" dataDxfId="4"/>
    <tableColumn id="6" xr3:uid="{D8513D4A-B2FA-42B4-90CC-03DA32C7E288}" name="Raporti" dataDxfId="3"/>
    <tableColumn id="7" xr3:uid="{E0A44F50-06C8-43BF-94C0-2DC780B7A6D0}" name="Pagesa" dataDxfId="2"/>
    <tableColumn id="8" xr3:uid="{8F37AF44-8A4A-46C8-B7A4-6CE4C6FE380C}" name="Perona" dataDxfId="1"/>
    <tableColumn id="9" xr3:uid="{0427FF81-C777-4625-8DD1-C7CFB4C18F08}" name="TOTAL" dataDxfId="0">
      <calculatedColumnFormula>G5-H5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CB38-7D7C-4359-94C3-9D2A76D606C2}">
  <dimension ref="A1:I13"/>
  <sheetViews>
    <sheetView workbookViewId="0">
      <selection activeCell="M12" sqref="M12"/>
    </sheetView>
  </sheetViews>
  <sheetFormatPr defaultRowHeight="14.4"/>
  <cols>
    <col min="1" max="1" width="14" customWidth="1"/>
    <col min="2" max="2" width="7.109375" customWidth="1"/>
    <col min="3" max="3" width="23.88671875" customWidth="1"/>
    <col min="4" max="6" width="7.44140625" customWidth="1"/>
    <col min="7" max="7" width="10.44140625" customWidth="1"/>
    <col min="8" max="8" width="10" customWidth="1"/>
    <col min="9" max="9" width="12.44140625" customWidth="1"/>
  </cols>
  <sheetData>
    <row r="1" spans="1:9" ht="14.4" customHeight="1">
      <c r="A1" s="1" t="s">
        <v>0</v>
      </c>
      <c r="B1" s="2">
        <f>SUM(D5:D11)</f>
        <v>1278</v>
      </c>
      <c r="C1" s="3"/>
      <c r="D1" s="23" t="s">
        <v>1</v>
      </c>
      <c r="E1" s="24">
        <v>46004</v>
      </c>
      <c r="F1" s="24"/>
      <c r="G1" s="22"/>
      <c r="H1" s="22"/>
      <c r="I1" s="22"/>
    </row>
    <row r="2" spans="1:9" ht="14.4" customHeight="1">
      <c r="A2" s="1" t="s">
        <v>2</v>
      </c>
      <c r="B2" s="4">
        <f>SUM(E5:E11)</f>
        <v>30</v>
      </c>
      <c r="C2" s="3"/>
      <c r="D2" s="23"/>
      <c r="E2" s="24"/>
      <c r="F2" s="24"/>
      <c r="G2" s="22"/>
      <c r="H2" s="22"/>
      <c r="I2" s="2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18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20" t="s">
        <v>9</v>
      </c>
      <c r="H4" s="20" t="s">
        <v>10</v>
      </c>
      <c r="I4" s="21" t="s">
        <v>11</v>
      </c>
    </row>
    <row r="5" spans="1:9" ht="15.6">
      <c r="A5" s="8" t="s">
        <v>20</v>
      </c>
      <c r="B5" s="3" t="s">
        <v>12</v>
      </c>
      <c r="C5" s="9" t="s">
        <v>17</v>
      </c>
      <c r="D5" s="10">
        <v>389</v>
      </c>
      <c r="E5" s="10">
        <v>7</v>
      </c>
      <c r="F5" s="10">
        <v>1913</v>
      </c>
      <c r="G5" s="11">
        <v>404</v>
      </c>
      <c r="H5" s="11">
        <v>38.5</v>
      </c>
      <c r="I5" s="12">
        <f t="shared" ref="I5:I6" si="0">G5-H5</f>
        <v>365.5</v>
      </c>
    </row>
    <row r="6" spans="1:9" ht="15.6">
      <c r="A6" s="8" t="s">
        <v>21</v>
      </c>
      <c r="B6" s="10" t="s">
        <v>13</v>
      </c>
      <c r="C6" s="3" t="s">
        <v>18</v>
      </c>
      <c r="D6" s="10">
        <v>295</v>
      </c>
      <c r="E6" s="10">
        <v>8</v>
      </c>
      <c r="F6" s="10">
        <v>1436</v>
      </c>
      <c r="G6" s="13">
        <v>301</v>
      </c>
      <c r="H6" s="13">
        <v>21</v>
      </c>
      <c r="I6" s="12">
        <f t="shared" si="0"/>
        <v>280</v>
      </c>
    </row>
    <row r="7" spans="1:9" ht="15.6">
      <c r="A7" s="8" t="s">
        <v>22</v>
      </c>
      <c r="B7" s="10"/>
      <c r="C7" s="9"/>
      <c r="D7" s="3"/>
      <c r="E7" s="3"/>
      <c r="F7" s="3"/>
      <c r="G7" s="11"/>
      <c r="H7" s="11"/>
      <c r="I7" s="12">
        <f>G7-H7</f>
        <v>0</v>
      </c>
    </row>
    <row r="8" spans="1:9" ht="15.6">
      <c r="A8" s="8" t="s">
        <v>23</v>
      </c>
      <c r="B8" s="3" t="s">
        <v>14</v>
      </c>
      <c r="C8" s="14" t="s">
        <v>19</v>
      </c>
      <c r="D8" s="3">
        <v>193</v>
      </c>
      <c r="E8" s="3">
        <v>7</v>
      </c>
      <c r="F8" s="3">
        <v>1865</v>
      </c>
      <c r="G8" s="11">
        <v>231</v>
      </c>
      <c r="H8" s="11">
        <v>31.5</v>
      </c>
      <c r="I8" s="12">
        <f>G8-H8</f>
        <v>199.5</v>
      </c>
    </row>
    <row r="9" spans="1:9" ht="15.6">
      <c r="A9" s="8" t="s">
        <v>24</v>
      </c>
      <c r="B9" s="10" t="s">
        <v>15</v>
      </c>
      <c r="C9" s="9" t="s">
        <v>17</v>
      </c>
      <c r="D9" s="10">
        <v>401</v>
      </c>
      <c r="E9" s="10">
        <v>8</v>
      </c>
      <c r="F9" s="10">
        <v>1791</v>
      </c>
      <c r="G9" s="13">
        <v>412</v>
      </c>
      <c r="H9" s="13">
        <v>44</v>
      </c>
      <c r="I9" s="15">
        <f>G9-H9</f>
        <v>368</v>
      </c>
    </row>
    <row r="10" spans="1:9" ht="15.6">
      <c r="A10" s="8" t="s">
        <v>25</v>
      </c>
      <c r="B10" s="10"/>
      <c r="C10" s="9"/>
      <c r="D10" s="10"/>
      <c r="E10" s="10"/>
      <c r="F10" s="10"/>
      <c r="G10" s="13"/>
      <c r="H10" s="13"/>
      <c r="I10" s="15">
        <f t="shared" ref="I10:I11" si="1">G10-H10</f>
        <v>0</v>
      </c>
    </row>
    <row r="11" spans="1:9" ht="15.6">
      <c r="A11" s="8" t="s">
        <v>26</v>
      </c>
      <c r="B11" s="3"/>
      <c r="C11" s="9"/>
      <c r="D11" s="10"/>
      <c r="E11" s="10"/>
      <c r="F11" s="10"/>
      <c r="G11" s="13"/>
      <c r="H11" s="13"/>
      <c r="I11" s="15">
        <f t="shared" si="1"/>
        <v>0</v>
      </c>
    </row>
    <row r="12" spans="1:9" ht="15.6">
      <c r="A12" s="3"/>
      <c r="B12" s="3"/>
      <c r="C12" s="14"/>
      <c r="D12" s="3"/>
      <c r="E12" s="3"/>
      <c r="F12" s="3"/>
      <c r="G12" s="11"/>
      <c r="H12" s="11"/>
      <c r="I12" s="16"/>
    </row>
    <row r="13" spans="1:9" ht="15.6">
      <c r="A13" s="3"/>
      <c r="B13" s="3"/>
      <c r="C13" s="14"/>
      <c r="D13" s="3"/>
      <c r="E13" s="3"/>
      <c r="F13" s="3"/>
      <c r="G13" s="17">
        <f>SUM(G5:G12)</f>
        <v>1348</v>
      </c>
      <c r="H13" s="17">
        <f>SUM(H5:H11)</f>
        <v>135</v>
      </c>
      <c r="I13" s="18">
        <f>SUM(I5:I12)</f>
        <v>1213</v>
      </c>
    </row>
  </sheetData>
  <mergeCells count="2">
    <mergeCell ref="D1:D2"/>
    <mergeCell ref="E1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422A-BB1F-473A-95F0-2C6490C4528C}">
  <dimension ref="A1:I13"/>
  <sheetViews>
    <sheetView workbookViewId="0">
      <selection activeCell="E1" sqref="E1:F2"/>
    </sheetView>
  </sheetViews>
  <sheetFormatPr defaultRowHeight="14.4"/>
  <cols>
    <col min="1" max="1" width="14" customWidth="1"/>
    <col min="2" max="2" width="7.109375" customWidth="1"/>
    <col min="3" max="3" width="23.88671875" customWidth="1"/>
    <col min="4" max="6" width="7.44140625" customWidth="1"/>
    <col min="7" max="7" width="10.44140625" customWidth="1"/>
    <col min="8" max="8" width="10" customWidth="1"/>
    <col min="9" max="9" width="12.44140625" customWidth="1"/>
  </cols>
  <sheetData>
    <row r="1" spans="1:9" ht="14.4" customHeight="1">
      <c r="A1" s="1" t="s">
        <v>0</v>
      </c>
      <c r="B1" s="2">
        <f>SUM(D5:D11)</f>
        <v>1799</v>
      </c>
      <c r="C1" s="3"/>
      <c r="D1" s="23" t="s">
        <v>1</v>
      </c>
      <c r="E1" s="24">
        <v>46003</v>
      </c>
      <c r="F1" s="24"/>
      <c r="G1" s="22"/>
      <c r="H1" s="22"/>
      <c r="I1" s="22"/>
    </row>
    <row r="2" spans="1:9" ht="14.4" customHeight="1">
      <c r="A2" s="1" t="s">
        <v>2</v>
      </c>
      <c r="B2" s="4">
        <f>SUM(E5:E11)</f>
        <v>35</v>
      </c>
      <c r="C2" s="3"/>
      <c r="D2" s="23"/>
      <c r="E2" s="24"/>
      <c r="F2" s="24"/>
      <c r="G2" s="22"/>
      <c r="H2" s="22"/>
      <c r="I2" s="2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18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20" t="s">
        <v>9</v>
      </c>
      <c r="H4" s="20" t="s">
        <v>10</v>
      </c>
      <c r="I4" s="21" t="s">
        <v>11</v>
      </c>
    </row>
    <row r="5" spans="1:9" ht="15.6">
      <c r="A5" s="8" t="s">
        <v>20</v>
      </c>
      <c r="B5" s="3" t="s">
        <v>12</v>
      </c>
      <c r="C5" s="9" t="s">
        <v>17</v>
      </c>
      <c r="D5" s="10">
        <v>458</v>
      </c>
      <c r="E5" s="10">
        <v>7</v>
      </c>
      <c r="F5" s="10">
        <v>1912</v>
      </c>
      <c r="G5" s="11">
        <v>512</v>
      </c>
      <c r="H5" s="11">
        <v>38.5</v>
      </c>
      <c r="I5" s="12">
        <f t="shared" ref="I5:I6" si="0">G5-H5</f>
        <v>473.5</v>
      </c>
    </row>
    <row r="6" spans="1:9" ht="15.6">
      <c r="A6" s="8" t="s">
        <v>21</v>
      </c>
      <c r="B6" s="10" t="s">
        <v>13</v>
      </c>
      <c r="C6" s="3" t="s">
        <v>18</v>
      </c>
      <c r="D6" s="10">
        <v>357</v>
      </c>
      <c r="E6" s="10">
        <v>8</v>
      </c>
      <c r="F6" s="10">
        <v>1435</v>
      </c>
      <c r="G6" s="13">
        <v>367</v>
      </c>
      <c r="H6" s="13">
        <v>21</v>
      </c>
      <c r="I6" s="12">
        <f t="shared" si="0"/>
        <v>346</v>
      </c>
    </row>
    <row r="7" spans="1:9" ht="15.6">
      <c r="A7" s="8" t="s">
        <v>22</v>
      </c>
      <c r="B7" s="10"/>
      <c r="C7" s="9"/>
      <c r="D7" s="3"/>
      <c r="E7" s="3"/>
      <c r="F7" s="3"/>
      <c r="G7" s="11"/>
      <c r="H7" s="11"/>
      <c r="I7" s="12">
        <f>G7-H7</f>
        <v>0</v>
      </c>
    </row>
    <row r="8" spans="1:9" ht="15.6">
      <c r="A8" s="8" t="s">
        <v>23</v>
      </c>
      <c r="B8" s="3" t="s">
        <v>14</v>
      </c>
      <c r="C8" s="14" t="s">
        <v>19</v>
      </c>
      <c r="D8" s="3">
        <v>399</v>
      </c>
      <c r="E8" s="3">
        <v>7</v>
      </c>
      <c r="F8" s="3">
        <v>1864</v>
      </c>
      <c r="G8" s="11">
        <v>410</v>
      </c>
      <c r="H8" s="11">
        <v>31.5</v>
      </c>
      <c r="I8" s="12">
        <f>G8-H8</f>
        <v>378.5</v>
      </c>
    </row>
    <row r="9" spans="1:9" ht="15.6">
      <c r="A9" s="8" t="s">
        <v>24</v>
      </c>
      <c r="B9" s="10" t="s">
        <v>15</v>
      </c>
      <c r="C9" s="9" t="s">
        <v>17</v>
      </c>
      <c r="D9" s="10">
        <v>327</v>
      </c>
      <c r="E9" s="10">
        <v>8</v>
      </c>
      <c r="F9" s="10">
        <v>1790</v>
      </c>
      <c r="G9" s="13">
        <v>348.5</v>
      </c>
      <c r="H9" s="13">
        <v>44</v>
      </c>
      <c r="I9" s="15">
        <f>G9-H9</f>
        <v>304.5</v>
      </c>
    </row>
    <row r="10" spans="1:9" ht="15.6">
      <c r="A10" s="8" t="s">
        <v>25</v>
      </c>
      <c r="B10" s="10"/>
      <c r="C10" s="9"/>
      <c r="D10" s="10"/>
      <c r="E10" s="10"/>
      <c r="F10" s="10"/>
      <c r="G10" s="13"/>
      <c r="H10" s="13"/>
      <c r="I10" s="15">
        <f t="shared" ref="I10" si="1">G10-H10</f>
        <v>0</v>
      </c>
    </row>
    <row r="11" spans="1:9" ht="15.6">
      <c r="A11" s="8" t="s">
        <v>26</v>
      </c>
      <c r="B11" s="3" t="s">
        <v>16</v>
      </c>
      <c r="C11" s="9" t="s">
        <v>18</v>
      </c>
      <c r="D11" s="10">
        <v>258</v>
      </c>
      <c r="E11" s="10">
        <v>5</v>
      </c>
      <c r="F11" s="10">
        <v>1761</v>
      </c>
      <c r="G11" s="13">
        <v>267.5</v>
      </c>
      <c r="H11" s="13">
        <v>24.5</v>
      </c>
      <c r="I11" s="15">
        <f>G11-H11</f>
        <v>243</v>
      </c>
    </row>
    <row r="12" spans="1:9" ht="15.6">
      <c r="A12" s="3"/>
      <c r="B12" s="3"/>
      <c r="C12" s="14"/>
      <c r="D12" s="3"/>
      <c r="E12" s="3"/>
      <c r="F12" s="3"/>
      <c r="G12" s="11"/>
      <c r="H12" s="11"/>
      <c r="I12" s="16"/>
    </row>
    <row r="13" spans="1:9" ht="15.6">
      <c r="A13" s="3"/>
      <c r="B13" s="3"/>
      <c r="C13" s="14"/>
      <c r="D13" s="3"/>
      <c r="E13" s="3"/>
      <c r="F13" s="3"/>
      <c r="G13" s="17">
        <f>SUM(G5:G11)</f>
        <v>1905</v>
      </c>
      <c r="H13" s="17">
        <f>SUM(H5:H11)</f>
        <v>159.5</v>
      </c>
      <c r="I13" s="18">
        <f>SUM(I5:I11)</f>
        <v>1745.5</v>
      </c>
    </row>
  </sheetData>
  <mergeCells count="2">
    <mergeCell ref="D1:D2"/>
    <mergeCell ref="E1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2736-152F-4FFB-A58A-DA961677DB98}">
  <dimension ref="A1:I13"/>
  <sheetViews>
    <sheetView workbookViewId="0">
      <selection activeCell="F32" sqref="F32"/>
    </sheetView>
  </sheetViews>
  <sheetFormatPr defaultRowHeight="14.4"/>
  <cols>
    <col min="1" max="1" width="14" customWidth="1"/>
    <col min="2" max="2" width="7.109375" customWidth="1"/>
    <col min="3" max="3" width="23.88671875" customWidth="1"/>
    <col min="4" max="6" width="7.44140625" customWidth="1"/>
    <col min="7" max="7" width="10.44140625" customWidth="1"/>
    <col min="8" max="8" width="10" customWidth="1"/>
    <col min="9" max="9" width="12.44140625" customWidth="1"/>
  </cols>
  <sheetData>
    <row r="1" spans="1:9" ht="14.4" customHeight="1">
      <c r="A1" s="1" t="s">
        <v>0</v>
      </c>
      <c r="B1" s="2">
        <f>SUM(D5:D11)</f>
        <v>1591</v>
      </c>
      <c r="C1" s="3"/>
      <c r="D1" s="23" t="s">
        <v>1</v>
      </c>
      <c r="E1" s="24">
        <v>46002</v>
      </c>
      <c r="F1" s="24"/>
      <c r="G1" s="22"/>
      <c r="H1" s="22"/>
      <c r="I1" s="22"/>
    </row>
    <row r="2" spans="1:9" ht="14.4" customHeight="1">
      <c r="A2" s="1" t="s">
        <v>2</v>
      </c>
      <c r="B2" s="4">
        <f>SUM(E5:E11)</f>
        <v>35</v>
      </c>
      <c r="C2" s="3"/>
      <c r="D2" s="23"/>
      <c r="E2" s="24"/>
      <c r="F2" s="24"/>
      <c r="G2" s="22"/>
      <c r="H2" s="22"/>
      <c r="I2" s="2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18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20" t="s">
        <v>9</v>
      </c>
      <c r="H4" s="20" t="s">
        <v>10</v>
      </c>
      <c r="I4" s="21" t="s">
        <v>11</v>
      </c>
    </row>
    <row r="5" spans="1:9" ht="15.6">
      <c r="A5" s="8" t="s">
        <v>20</v>
      </c>
      <c r="B5" s="3" t="s">
        <v>12</v>
      </c>
      <c r="C5" s="9" t="s">
        <v>17</v>
      </c>
      <c r="D5" s="10">
        <v>169</v>
      </c>
      <c r="E5" s="10">
        <v>7</v>
      </c>
      <c r="F5" s="10">
        <v>1911</v>
      </c>
      <c r="G5" s="11">
        <v>204.6</v>
      </c>
      <c r="H5" s="11">
        <v>38.5</v>
      </c>
      <c r="I5" s="12">
        <f t="shared" ref="I5:I6" si="0">G5-H5</f>
        <v>166.1</v>
      </c>
    </row>
    <row r="6" spans="1:9" ht="15.6">
      <c r="A6" s="8" t="s">
        <v>21</v>
      </c>
      <c r="B6" s="10" t="s">
        <v>13</v>
      </c>
      <c r="C6" s="3" t="s">
        <v>18</v>
      </c>
      <c r="D6" s="10">
        <v>366</v>
      </c>
      <c r="E6" s="10">
        <v>8</v>
      </c>
      <c r="F6" s="10">
        <v>1434</v>
      </c>
      <c r="G6" s="13">
        <v>340</v>
      </c>
      <c r="H6" s="13">
        <v>21</v>
      </c>
      <c r="I6" s="12">
        <f t="shared" si="0"/>
        <v>319</v>
      </c>
    </row>
    <row r="7" spans="1:9" ht="15.6">
      <c r="A7" s="8" t="s">
        <v>22</v>
      </c>
      <c r="B7" s="10"/>
      <c r="C7" s="9"/>
      <c r="D7" s="3"/>
      <c r="E7" s="3"/>
      <c r="F7" s="3"/>
      <c r="G7" s="11"/>
      <c r="H7" s="11"/>
      <c r="I7" s="12">
        <f>G7-H7</f>
        <v>0</v>
      </c>
    </row>
    <row r="8" spans="1:9" ht="15.6">
      <c r="A8" s="8" t="s">
        <v>23</v>
      </c>
      <c r="B8" s="3" t="s">
        <v>14</v>
      </c>
      <c r="C8" s="14" t="s">
        <v>19</v>
      </c>
      <c r="D8" s="3">
        <v>399</v>
      </c>
      <c r="E8" s="3">
        <v>7</v>
      </c>
      <c r="F8" s="3">
        <v>1863</v>
      </c>
      <c r="G8" s="11">
        <v>410</v>
      </c>
      <c r="H8" s="11">
        <v>31.5</v>
      </c>
      <c r="I8" s="12">
        <f>G8-H8</f>
        <v>378.5</v>
      </c>
    </row>
    <row r="9" spans="1:9" ht="15.6">
      <c r="A9" s="8" t="s">
        <v>24</v>
      </c>
      <c r="B9" s="10" t="s">
        <v>15</v>
      </c>
      <c r="C9" s="9" t="s">
        <v>17</v>
      </c>
      <c r="D9" s="10">
        <v>299</v>
      </c>
      <c r="E9" s="10">
        <v>8</v>
      </c>
      <c r="F9" s="10">
        <v>1789</v>
      </c>
      <c r="G9" s="13">
        <v>330</v>
      </c>
      <c r="H9" s="13">
        <v>44</v>
      </c>
      <c r="I9" s="15">
        <f>G9-H9</f>
        <v>286</v>
      </c>
    </row>
    <row r="10" spans="1:9" ht="15.6">
      <c r="A10" s="8" t="s">
        <v>25</v>
      </c>
      <c r="B10" s="10"/>
      <c r="C10" s="9"/>
      <c r="D10" s="10"/>
      <c r="E10" s="10"/>
      <c r="F10" s="10"/>
      <c r="G10" s="13"/>
      <c r="H10" s="13"/>
      <c r="I10" s="15">
        <f t="shared" ref="I10" si="1">G10-H10</f>
        <v>0</v>
      </c>
    </row>
    <row r="11" spans="1:9" ht="15.6">
      <c r="A11" s="8" t="s">
        <v>26</v>
      </c>
      <c r="B11" s="3" t="s">
        <v>16</v>
      </c>
      <c r="C11" s="9" t="s">
        <v>18</v>
      </c>
      <c r="D11" s="10">
        <v>358</v>
      </c>
      <c r="E11" s="10">
        <v>5</v>
      </c>
      <c r="F11" s="10">
        <v>1760</v>
      </c>
      <c r="G11" s="13">
        <v>378</v>
      </c>
      <c r="H11" s="13">
        <v>24.5</v>
      </c>
      <c r="I11" s="15">
        <f>G11-H11</f>
        <v>353.5</v>
      </c>
    </row>
    <row r="12" spans="1:9" ht="15.6">
      <c r="A12" s="3"/>
      <c r="B12" s="3"/>
      <c r="C12" s="14"/>
      <c r="D12" s="3"/>
      <c r="E12" s="3"/>
      <c r="F12" s="3"/>
      <c r="G12" s="11"/>
      <c r="H12" s="11"/>
      <c r="I12" s="16"/>
    </row>
    <row r="13" spans="1:9" ht="15.6">
      <c r="A13" s="3"/>
      <c r="B13" s="3"/>
      <c r="C13" s="14"/>
      <c r="D13" s="3"/>
      <c r="E13" s="3"/>
      <c r="F13" s="3"/>
      <c r="G13" s="17">
        <f>SUM(G5:G11)</f>
        <v>1662.6</v>
      </c>
      <c r="H13" s="17">
        <f>SUM(H5:H11)</f>
        <v>159.5</v>
      </c>
      <c r="I13" s="18">
        <f>SUM(I5:I11)</f>
        <v>1503.1</v>
      </c>
    </row>
  </sheetData>
  <mergeCells count="2">
    <mergeCell ref="D1:D2"/>
    <mergeCell ref="E1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4A85-85D3-41BF-879A-D4527C301761}">
  <dimension ref="A1:I13"/>
  <sheetViews>
    <sheetView workbookViewId="0">
      <selection sqref="A1:XFD1048576"/>
    </sheetView>
  </sheetViews>
  <sheetFormatPr defaultRowHeight="14.4"/>
  <cols>
    <col min="1" max="1" width="14" customWidth="1"/>
    <col min="2" max="2" width="7.109375" customWidth="1"/>
    <col min="3" max="3" width="23.88671875" customWidth="1"/>
    <col min="4" max="6" width="7.44140625" customWidth="1"/>
    <col min="7" max="7" width="10.44140625" customWidth="1"/>
    <col min="8" max="8" width="10" customWidth="1"/>
    <col min="9" max="9" width="12.44140625" customWidth="1"/>
  </cols>
  <sheetData>
    <row r="1" spans="1:9" ht="14.4" customHeight="1">
      <c r="A1" s="1" t="s">
        <v>0</v>
      </c>
      <c r="B1" s="2">
        <f>SUM(D5:D11)</f>
        <v>1767</v>
      </c>
      <c r="C1" s="3"/>
      <c r="D1" s="23" t="s">
        <v>1</v>
      </c>
      <c r="E1" s="24">
        <v>46001</v>
      </c>
      <c r="F1" s="24"/>
      <c r="G1" s="22"/>
      <c r="H1" s="22"/>
      <c r="I1" s="22"/>
    </row>
    <row r="2" spans="1:9" ht="14.4" customHeight="1">
      <c r="A2" s="1" t="s">
        <v>2</v>
      </c>
      <c r="B2" s="4">
        <f>SUM(E5:E11)</f>
        <v>35</v>
      </c>
      <c r="C2" s="3"/>
      <c r="D2" s="23"/>
      <c r="E2" s="24"/>
      <c r="F2" s="24"/>
      <c r="G2" s="22"/>
      <c r="H2" s="22"/>
      <c r="I2" s="2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18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20" t="s">
        <v>9</v>
      </c>
      <c r="H4" s="20" t="s">
        <v>10</v>
      </c>
      <c r="I4" s="21" t="s">
        <v>11</v>
      </c>
    </row>
    <row r="5" spans="1:9" ht="15.6">
      <c r="A5" s="8" t="s">
        <v>20</v>
      </c>
      <c r="B5" s="3" t="s">
        <v>12</v>
      </c>
      <c r="C5" s="9" t="s">
        <v>17</v>
      </c>
      <c r="D5" s="10">
        <v>256</v>
      </c>
      <c r="E5" s="10">
        <v>7</v>
      </c>
      <c r="F5" s="10">
        <v>1910</v>
      </c>
      <c r="G5" s="11">
        <v>305.5</v>
      </c>
      <c r="H5" s="11">
        <v>38.5</v>
      </c>
      <c r="I5" s="12">
        <f t="shared" ref="I5:I6" si="0">G5-H5</f>
        <v>267</v>
      </c>
    </row>
    <row r="6" spans="1:9" ht="15.6">
      <c r="A6" s="8" t="s">
        <v>21</v>
      </c>
      <c r="B6" s="10" t="s">
        <v>13</v>
      </c>
      <c r="C6" s="3" t="s">
        <v>18</v>
      </c>
      <c r="D6" s="10">
        <v>365</v>
      </c>
      <c r="E6" s="10">
        <v>8</v>
      </c>
      <c r="F6" s="10">
        <v>1433</v>
      </c>
      <c r="G6" s="13">
        <v>389.6</v>
      </c>
      <c r="H6" s="13">
        <v>21</v>
      </c>
      <c r="I6" s="12">
        <f t="shared" si="0"/>
        <v>368.6</v>
      </c>
    </row>
    <row r="7" spans="1:9" ht="15.6">
      <c r="A7" s="8" t="s">
        <v>22</v>
      </c>
      <c r="B7" s="10"/>
      <c r="C7" s="9"/>
      <c r="D7" s="3"/>
      <c r="E7" s="3"/>
      <c r="F7" s="3"/>
      <c r="G7" s="11"/>
      <c r="H7" s="11"/>
      <c r="I7" s="12">
        <f>G7-H7</f>
        <v>0</v>
      </c>
    </row>
    <row r="8" spans="1:9" ht="15.6">
      <c r="A8" s="8" t="s">
        <v>23</v>
      </c>
      <c r="B8" s="3" t="s">
        <v>14</v>
      </c>
      <c r="C8" s="14" t="s">
        <v>19</v>
      </c>
      <c r="D8" s="3">
        <v>455</v>
      </c>
      <c r="E8" s="3">
        <v>7</v>
      </c>
      <c r="F8" s="3">
        <v>1862</v>
      </c>
      <c r="G8" s="11">
        <v>485.7</v>
      </c>
      <c r="H8" s="11">
        <v>31.5</v>
      </c>
      <c r="I8" s="12">
        <f>G8-H8</f>
        <v>454.2</v>
      </c>
    </row>
    <row r="9" spans="1:9" ht="15.6">
      <c r="A9" s="8" t="s">
        <v>24</v>
      </c>
      <c r="B9" s="10" t="s">
        <v>15</v>
      </c>
      <c r="C9" s="9" t="s">
        <v>17</v>
      </c>
      <c r="D9" s="10">
        <v>358</v>
      </c>
      <c r="E9" s="10">
        <v>8</v>
      </c>
      <c r="F9" s="10">
        <v>1788</v>
      </c>
      <c r="G9" s="13">
        <v>374.2</v>
      </c>
      <c r="H9" s="13">
        <v>44</v>
      </c>
      <c r="I9" s="15">
        <f>G9-H9</f>
        <v>330.2</v>
      </c>
    </row>
    <row r="10" spans="1:9" ht="15.6">
      <c r="A10" s="8" t="s">
        <v>25</v>
      </c>
      <c r="B10" s="10"/>
      <c r="C10" s="9"/>
      <c r="D10" s="10"/>
      <c r="E10" s="10"/>
      <c r="F10" s="10"/>
      <c r="G10" s="13"/>
      <c r="H10" s="13"/>
      <c r="I10" s="15">
        <f t="shared" ref="I10" si="1">G10-H10</f>
        <v>0</v>
      </c>
    </row>
    <row r="11" spans="1:9" ht="15.6">
      <c r="A11" s="8" t="s">
        <v>26</v>
      </c>
      <c r="B11" s="3" t="s">
        <v>16</v>
      </c>
      <c r="C11" s="9" t="s">
        <v>18</v>
      </c>
      <c r="D11" s="10">
        <v>333</v>
      </c>
      <c r="E11" s="10">
        <v>5</v>
      </c>
      <c r="F11" s="10">
        <v>1759</v>
      </c>
      <c r="G11" s="13">
        <v>362</v>
      </c>
      <c r="H11" s="13">
        <v>24.5</v>
      </c>
      <c r="I11" s="15">
        <f>G11-H11</f>
        <v>337.5</v>
      </c>
    </row>
    <row r="12" spans="1:9" ht="15.6">
      <c r="A12" s="3"/>
      <c r="B12" s="3"/>
      <c r="C12" s="14"/>
      <c r="D12" s="3"/>
      <c r="E12" s="3"/>
      <c r="F12" s="3"/>
      <c r="G12" s="11"/>
      <c r="H12" s="11"/>
      <c r="I12" s="16"/>
    </row>
    <row r="13" spans="1:9" ht="15.6">
      <c r="A13" s="3"/>
      <c r="B13" s="3"/>
      <c r="C13" s="14"/>
      <c r="D13" s="3"/>
      <c r="E13" s="3"/>
      <c r="F13" s="3"/>
      <c r="G13" s="17">
        <f>SUM(G5:G11)</f>
        <v>1917</v>
      </c>
      <c r="H13" s="17">
        <f>SUM(H5:H11)</f>
        <v>159.5</v>
      </c>
      <c r="I13" s="18">
        <f>SUM(I5:I11)</f>
        <v>1757.5</v>
      </c>
    </row>
  </sheetData>
  <mergeCells count="2">
    <mergeCell ref="D1:D2"/>
    <mergeCell ref="E1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6F68-D635-4674-81BC-845D35D1758D}">
  <dimension ref="A1:I13"/>
  <sheetViews>
    <sheetView workbookViewId="0">
      <selection sqref="A1:XFD1048576"/>
    </sheetView>
  </sheetViews>
  <sheetFormatPr defaultRowHeight="14.4"/>
  <cols>
    <col min="1" max="1" width="14" customWidth="1"/>
    <col min="2" max="2" width="7.109375" customWidth="1"/>
    <col min="3" max="3" width="23.88671875" customWidth="1"/>
    <col min="4" max="6" width="7.44140625" customWidth="1"/>
    <col min="7" max="7" width="10.44140625" customWidth="1"/>
    <col min="8" max="8" width="10" customWidth="1"/>
    <col min="9" max="9" width="12.44140625" customWidth="1"/>
  </cols>
  <sheetData>
    <row r="1" spans="1:9" ht="14.4" customHeight="1">
      <c r="A1" s="1" t="s">
        <v>0</v>
      </c>
      <c r="B1" s="2">
        <f>SUM(D5:D11)</f>
        <v>2025</v>
      </c>
      <c r="C1" s="3"/>
      <c r="D1" s="23" t="s">
        <v>1</v>
      </c>
      <c r="E1" s="24">
        <v>46000</v>
      </c>
      <c r="F1" s="24"/>
      <c r="G1" s="22"/>
      <c r="H1" s="22"/>
      <c r="I1" s="22"/>
    </row>
    <row r="2" spans="1:9" ht="14.4" customHeight="1">
      <c r="A2" s="1" t="s">
        <v>2</v>
      </c>
      <c r="B2" s="4">
        <f>SUM(E5:E11)</f>
        <v>35</v>
      </c>
      <c r="C2" s="3"/>
      <c r="D2" s="23"/>
      <c r="E2" s="24"/>
      <c r="F2" s="24"/>
      <c r="G2" s="22"/>
      <c r="H2" s="22"/>
      <c r="I2" s="2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18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20" t="s">
        <v>9</v>
      </c>
      <c r="H4" s="20" t="s">
        <v>10</v>
      </c>
      <c r="I4" s="21" t="s">
        <v>11</v>
      </c>
    </row>
    <row r="5" spans="1:9" ht="15.6">
      <c r="A5" s="8" t="s">
        <v>20</v>
      </c>
      <c r="B5" s="3" t="s">
        <v>12</v>
      </c>
      <c r="C5" s="9" t="s">
        <v>17</v>
      </c>
      <c r="D5" s="10">
        <v>485</v>
      </c>
      <c r="E5" s="10">
        <v>7</v>
      </c>
      <c r="F5" s="10">
        <v>1909</v>
      </c>
      <c r="G5" s="11">
        <v>501.2</v>
      </c>
      <c r="H5" s="11">
        <v>38.5</v>
      </c>
      <c r="I5" s="12">
        <f t="shared" ref="I5:I6" si="0">G5-H5</f>
        <v>462.7</v>
      </c>
    </row>
    <row r="6" spans="1:9" ht="15.6">
      <c r="A6" s="8" t="s">
        <v>21</v>
      </c>
      <c r="B6" s="10" t="s">
        <v>13</v>
      </c>
      <c r="C6" s="3" t="s">
        <v>18</v>
      </c>
      <c r="D6" s="10">
        <v>385</v>
      </c>
      <c r="E6" s="10">
        <v>8</v>
      </c>
      <c r="F6" s="10">
        <v>1432</v>
      </c>
      <c r="G6" s="13">
        <v>399.5</v>
      </c>
      <c r="H6" s="13">
        <v>21</v>
      </c>
      <c r="I6" s="12">
        <f t="shared" si="0"/>
        <v>378.5</v>
      </c>
    </row>
    <row r="7" spans="1:9" ht="15.6">
      <c r="A7" s="8" t="s">
        <v>22</v>
      </c>
      <c r="B7" s="10"/>
      <c r="C7" s="9"/>
      <c r="D7" s="3"/>
      <c r="E7" s="3"/>
      <c r="F7" s="3"/>
      <c r="G7" s="11"/>
      <c r="H7" s="11"/>
      <c r="I7" s="12">
        <f>G7-H7</f>
        <v>0</v>
      </c>
    </row>
    <row r="8" spans="1:9" ht="15.6">
      <c r="A8" s="8" t="s">
        <v>23</v>
      </c>
      <c r="B8" s="3" t="s">
        <v>14</v>
      </c>
      <c r="C8" s="14" t="s">
        <v>19</v>
      </c>
      <c r="D8" s="3">
        <v>344</v>
      </c>
      <c r="E8" s="3">
        <v>7</v>
      </c>
      <c r="F8" s="3">
        <v>1861</v>
      </c>
      <c r="G8" s="11">
        <v>361.4</v>
      </c>
      <c r="H8" s="11">
        <v>31.5</v>
      </c>
      <c r="I8" s="12">
        <f>G8-H8</f>
        <v>329.9</v>
      </c>
    </row>
    <row r="9" spans="1:9" ht="15.6">
      <c r="A9" s="8" t="s">
        <v>24</v>
      </c>
      <c r="B9" s="10" t="s">
        <v>15</v>
      </c>
      <c r="C9" s="9" t="s">
        <v>17</v>
      </c>
      <c r="D9" s="10">
        <v>556</v>
      </c>
      <c r="E9" s="10">
        <v>8</v>
      </c>
      <c r="F9" s="10">
        <v>1787</v>
      </c>
      <c r="G9" s="13">
        <v>568.5</v>
      </c>
      <c r="H9" s="13">
        <v>44</v>
      </c>
      <c r="I9" s="15">
        <f>G9-H9</f>
        <v>524.5</v>
      </c>
    </row>
    <row r="10" spans="1:9" ht="15.6">
      <c r="A10" s="8" t="s">
        <v>25</v>
      </c>
      <c r="B10" s="10"/>
      <c r="C10" s="9"/>
      <c r="D10" s="10"/>
      <c r="E10" s="10"/>
      <c r="F10" s="10"/>
      <c r="G10" s="13"/>
      <c r="H10" s="13"/>
      <c r="I10" s="15">
        <f t="shared" ref="I10:I11" si="1">G10-H10</f>
        <v>0</v>
      </c>
    </row>
    <row r="11" spans="1:9" ht="15.6">
      <c r="A11" s="8" t="s">
        <v>26</v>
      </c>
      <c r="B11" s="3" t="s">
        <v>16</v>
      </c>
      <c r="C11" s="9" t="s">
        <v>18</v>
      </c>
      <c r="D11" s="10">
        <v>255</v>
      </c>
      <c r="E11" s="10">
        <v>5</v>
      </c>
      <c r="F11" s="10">
        <v>1758</v>
      </c>
      <c r="G11" s="13">
        <v>295</v>
      </c>
      <c r="H11" s="13">
        <v>24.5</v>
      </c>
      <c r="I11" s="15">
        <f t="shared" si="1"/>
        <v>270.5</v>
      </c>
    </row>
    <row r="12" spans="1:9" ht="15.6">
      <c r="A12" s="3"/>
      <c r="B12" s="3"/>
      <c r="C12" s="14"/>
      <c r="D12" s="3"/>
      <c r="E12" s="3"/>
      <c r="F12" s="3"/>
      <c r="G12" s="11"/>
      <c r="H12" s="11"/>
      <c r="I12" s="16"/>
    </row>
    <row r="13" spans="1:9" ht="15.6">
      <c r="A13" s="3"/>
      <c r="B13" s="3"/>
      <c r="C13" s="14"/>
      <c r="D13" s="3"/>
      <c r="E13" s="3"/>
      <c r="F13" s="3"/>
      <c r="G13" s="17">
        <f>SUM(G5:G12)</f>
        <v>2125.6</v>
      </c>
      <c r="H13" s="17">
        <f>SUM(H5:H11)</f>
        <v>159.5</v>
      </c>
      <c r="I13" s="18">
        <f>SUM(I5:I12)</f>
        <v>1966.1</v>
      </c>
    </row>
  </sheetData>
  <mergeCells count="2">
    <mergeCell ref="D1:D2"/>
    <mergeCell ref="E1:F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B7F6-962B-4139-BEEE-E3558D13C7FA}">
  <dimension ref="A1:I13"/>
  <sheetViews>
    <sheetView workbookViewId="0">
      <selection activeCell="D9" sqref="D6:D9"/>
    </sheetView>
  </sheetViews>
  <sheetFormatPr defaultRowHeight="14.4"/>
  <cols>
    <col min="1" max="1" width="14" customWidth="1"/>
    <col min="2" max="2" width="7.109375" customWidth="1"/>
    <col min="3" max="3" width="23.88671875" customWidth="1"/>
    <col min="4" max="6" width="7.44140625" customWidth="1"/>
    <col min="7" max="7" width="10.44140625" customWidth="1"/>
    <col min="8" max="8" width="10" customWidth="1"/>
    <col min="9" max="9" width="12.44140625" customWidth="1"/>
  </cols>
  <sheetData>
    <row r="1" spans="1:9" ht="14.4" customHeight="1">
      <c r="A1" s="1" t="s">
        <v>0</v>
      </c>
      <c r="B1" s="2">
        <f>SUM(D5:D11)</f>
        <v>2027</v>
      </c>
      <c r="C1" s="3"/>
      <c r="D1" s="23" t="s">
        <v>1</v>
      </c>
      <c r="E1" s="24">
        <v>45999</v>
      </c>
      <c r="F1" s="24"/>
      <c r="G1" s="22"/>
      <c r="H1" s="22"/>
      <c r="I1" s="22"/>
    </row>
    <row r="2" spans="1:9" ht="14.4" customHeight="1">
      <c r="A2" s="1" t="s">
        <v>2</v>
      </c>
      <c r="B2" s="4">
        <f>SUM(E5:E11)</f>
        <v>35</v>
      </c>
      <c r="C2" s="3"/>
      <c r="D2" s="23"/>
      <c r="E2" s="24"/>
      <c r="F2" s="24"/>
      <c r="G2" s="22"/>
      <c r="H2" s="22"/>
      <c r="I2" s="2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18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20" t="s">
        <v>9</v>
      </c>
      <c r="H4" s="20" t="s">
        <v>10</v>
      </c>
      <c r="I4" s="21" t="s">
        <v>11</v>
      </c>
    </row>
    <row r="5" spans="1:9" ht="15.6">
      <c r="A5" s="8" t="s">
        <v>20</v>
      </c>
      <c r="B5" s="3" t="s">
        <v>12</v>
      </c>
      <c r="C5" s="9" t="s">
        <v>17</v>
      </c>
      <c r="D5" s="10">
        <v>499</v>
      </c>
      <c r="E5" s="10">
        <v>7</v>
      </c>
      <c r="F5" s="10">
        <v>1908</v>
      </c>
      <c r="G5" s="11">
        <v>514.5</v>
      </c>
      <c r="H5" s="11">
        <v>38.5</v>
      </c>
      <c r="I5" s="12">
        <f t="shared" ref="I5:I6" si="0">G5-H5</f>
        <v>476</v>
      </c>
    </row>
    <row r="6" spans="1:9" ht="15.6">
      <c r="A6" s="8" t="s">
        <v>21</v>
      </c>
      <c r="B6" s="10" t="s">
        <v>13</v>
      </c>
      <c r="C6" s="3" t="s">
        <v>18</v>
      </c>
      <c r="D6" s="10">
        <v>395</v>
      </c>
      <c r="E6" s="10">
        <v>8</v>
      </c>
      <c r="F6" s="10">
        <v>1431</v>
      </c>
      <c r="G6" s="13">
        <v>401.2</v>
      </c>
      <c r="H6" s="13">
        <v>21</v>
      </c>
      <c r="I6" s="12">
        <f t="shared" si="0"/>
        <v>380.2</v>
      </c>
    </row>
    <row r="7" spans="1:9" ht="15.6">
      <c r="A7" s="8" t="s">
        <v>22</v>
      </c>
      <c r="B7" s="10"/>
      <c r="C7" s="9"/>
      <c r="D7" s="3"/>
      <c r="E7" s="3"/>
      <c r="F7" s="3"/>
      <c r="G7" s="11"/>
      <c r="H7" s="11"/>
      <c r="I7" s="12">
        <f>G7-H7</f>
        <v>0</v>
      </c>
    </row>
    <row r="8" spans="1:9" ht="15.6">
      <c r="A8" s="8" t="s">
        <v>23</v>
      </c>
      <c r="B8" s="3" t="s">
        <v>14</v>
      </c>
      <c r="C8" s="14" t="s">
        <v>19</v>
      </c>
      <c r="D8" s="3">
        <v>322</v>
      </c>
      <c r="E8" s="3">
        <v>7</v>
      </c>
      <c r="F8" s="3">
        <v>1860</v>
      </c>
      <c r="G8" s="11">
        <v>359.6</v>
      </c>
      <c r="H8" s="11">
        <v>31.5</v>
      </c>
      <c r="I8" s="12">
        <f>G8-H8</f>
        <v>328.1</v>
      </c>
    </row>
    <row r="9" spans="1:9" ht="15.6">
      <c r="A9" s="8" t="s">
        <v>24</v>
      </c>
      <c r="B9" s="10" t="s">
        <v>15</v>
      </c>
      <c r="C9" s="9" t="s">
        <v>17</v>
      </c>
      <c r="D9" s="10">
        <v>556</v>
      </c>
      <c r="E9" s="10">
        <v>8</v>
      </c>
      <c r="F9" s="10">
        <v>1786</v>
      </c>
      <c r="G9" s="13">
        <v>568.5</v>
      </c>
      <c r="H9" s="13">
        <v>44</v>
      </c>
      <c r="I9" s="15">
        <f>G9-H9</f>
        <v>524.5</v>
      </c>
    </row>
    <row r="10" spans="1:9" ht="15.6">
      <c r="A10" s="8" t="s">
        <v>25</v>
      </c>
      <c r="B10" s="10"/>
      <c r="C10" s="9"/>
      <c r="D10" s="10"/>
      <c r="E10" s="10"/>
      <c r="F10" s="10"/>
      <c r="G10" s="13"/>
      <c r="H10" s="13"/>
      <c r="I10" s="15">
        <f t="shared" ref="I10:I11" si="1">G10-H10</f>
        <v>0</v>
      </c>
    </row>
    <row r="11" spans="1:9" ht="15.6">
      <c r="A11" s="8" t="s">
        <v>26</v>
      </c>
      <c r="B11" s="3" t="s">
        <v>16</v>
      </c>
      <c r="C11" s="9" t="s">
        <v>18</v>
      </c>
      <c r="D11" s="10">
        <v>255</v>
      </c>
      <c r="E11" s="10">
        <v>5</v>
      </c>
      <c r="F11" s="10">
        <v>1757</v>
      </c>
      <c r="G11" s="13">
        <v>295</v>
      </c>
      <c r="H11" s="13">
        <v>24.5</v>
      </c>
      <c r="I11" s="15">
        <f t="shared" si="1"/>
        <v>270.5</v>
      </c>
    </row>
    <row r="12" spans="1:9" ht="15.6">
      <c r="A12" s="3"/>
      <c r="B12" s="3"/>
      <c r="C12" s="14"/>
      <c r="D12" s="3"/>
      <c r="E12" s="3"/>
      <c r="F12" s="3"/>
      <c r="G12" s="11"/>
      <c r="H12" s="11"/>
      <c r="I12" s="16"/>
    </row>
    <row r="13" spans="1:9" ht="15.6">
      <c r="A13" s="3"/>
      <c r="B13" s="3"/>
      <c r="C13" s="14"/>
      <c r="D13" s="3"/>
      <c r="E13" s="3"/>
      <c r="F13" s="3"/>
      <c r="G13" s="17">
        <f>SUM(G5:G12)</f>
        <v>2138.8000000000002</v>
      </c>
      <c r="H13" s="17">
        <f>SUM(H5:H11)</f>
        <v>159.5</v>
      </c>
      <c r="I13" s="18">
        <f>SUM(I5:I12)</f>
        <v>1979.3000000000002</v>
      </c>
    </row>
  </sheetData>
  <mergeCells count="2">
    <mergeCell ref="D1:D2"/>
    <mergeCell ref="E1:F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1DB9-7D8D-47D3-9D40-DBBD9D7B2C6F}">
  <dimension ref="A1:I13"/>
  <sheetViews>
    <sheetView workbookViewId="0">
      <selection sqref="A1:XFD1048576"/>
    </sheetView>
  </sheetViews>
  <sheetFormatPr defaultRowHeight="14.4"/>
  <cols>
    <col min="1" max="1" width="14" customWidth="1"/>
    <col min="2" max="2" width="7.109375" customWidth="1"/>
    <col min="3" max="3" width="23.88671875" customWidth="1"/>
    <col min="4" max="6" width="7.44140625" customWidth="1"/>
    <col min="7" max="7" width="10.44140625" customWidth="1"/>
    <col min="8" max="8" width="10" customWidth="1"/>
    <col min="9" max="9" width="12.44140625" customWidth="1"/>
  </cols>
  <sheetData>
    <row r="1" spans="1:9" ht="14.4" customHeight="1">
      <c r="A1" s="1" t="s">
        <v>0</v>
      </c>
      <c r="B1" s="2">
        <f>SUM(D5:D11)</f>
        <v>1688</v>
      </c>
      <c r="C1" s="3"/>
      <c r="D1" s="23" t="s">
        <v>1</v>
      </c>
      <c r="E1" s="24">
        <v>45997</v>
      </c>
      <c r="F1" s="24"/>
      <c r="G1" s="22"/>
      <c r="H1" s="22"/>
      <c r="I1" s="22"/>
    </row>
    <row r="2" spans="1:9" ht="14.4" customHeight="1">
      <c r="A2" s="1" t="s">
        <v>2</v>
      </c>
      <c r="B2" s="4">
        <f>SUM(E5:E11)</f>
        <v>30</v>
      </c>
      <c r="C2" s="3"/>
      <c r="D2" s="23"/>
      <c r="E2" s="24"/>
      <c r="F2" s="24"/>
      <c r="G2" s="22"/>
      <c r="H2" s="22"/>
      <c r="I2" s="2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18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20" t="s">
        <v>9</v>
      </c>
      <c r="H4" s="20" t="s">
        <v>10</v>
      </c>
      <c r="I4" s="21" t="s">
        <v>11</v>
      </c>
    </row>
    <row r="5" spans="1:9" ht="15.6">
      <c r="A5" s="8" t="s">
        <v>20</v>
      </c>
      <c r="B5" s="3" t="s">
        <v>12</v>
      </c>
      <c r="C5" s="9" t="s">
        <v>17</v>
      </c>
      <c r="D5" s="10">
        <v>499</v>
      </c>
      <c r="E5" s="10">
        <v>7</v>
      </c>
      <c r="F5" s="10">
        <v>1907</v>
      </c>
      <c r="G5" s="11">
        <v>514.5</v>
      </c>
      <c r="H5" s="11">
        <v>38.5</v>
      </c>
      <c r="I5" s="12">
        <f t="shared" ref="I5:I6" si="0">G5-H5</f>
        <v>476</v>
      </c>
    </row>
    <row r="6" spans="1:9" ht="15.6">
      <c r="A6" s="8" t="s">
        <v>21</v>
      </c>
      <c r="B6" s="10" t="s">
        <v>13</v>
      </c>
      <c r="C6" s="3" t="s">
        <v>18</v>
      </c>
      <c r="D6" s="10">
        <v>395</v>
      </c>
      <c r="E6" s="10">
        <v>8</v>
      </c>
      <c r="F6" s="10">
        <v>1430</v>
      </c>
      <c r="G6" s="13">
        <v>401.2</v>
      </c>
      <c r="H6" s="13">
        <v>21</v>
      </c>
      <c r="I6" s="12">
        <f t="shared" si="0"/>
        <v>380.2</v>
      </c>
    </row>
    <row r="7" spans="1:9" ht="15.6">
      <c r="A7" s="8" t="s">
        <v>22</v>
      </c>
      <c r="B7" s="10"/>
      <c r="C7" s="9"/>
      <c r="D7" s="3"/>
      <c r="E7" s="3"/>
      <c r="F7" s="3"/>
      <c r="G7" s="11"/>
      <c r="H7" s="11"/>
      <c r="I7" s="12">
        <f>G7-H7</f>
        <v>0</v>
      </c>
    </row>
    <row r="8" spans="1:9" ht="15.6">
      <c r="A8" s="8" t="s">
        <v>23</v>
      </c>
      <c r="B8" s="3" t="s">
        <v>14</v>
      </c>
      <c r="C8" s="14" t="s">
        <v>19</v>
      </c>
      <c r="D8" s="3">
        <v>293</v>
      </c>
      <c r="E8" s="3">
        <v>7</v>
      </c>
      <c r="F8" s="3">
        <v>1859</v>
      </c>
      <c r="G8" s="11">
        <v>321</v>
      </c>
      <c r="H8" s="11">
        <v>31.5</v>
      </c>
      <c r="I8" s="12">
        <f>G8-H8</f>
        <v>289.5</v>
      </c>
    </row>
    <row r="9" spans="1:9" ht="15.6">
      <c r="A9" s="8" t="s">
        <v>24</v>
      </c>
      <c r="B9" s="10" t="s">
        <v>15</v>
      </c>
      <c r="C9" s="9" t="s">
        <v>17</v>
      </c>
      <c r="D9" s="10">
        <v>501</v>
      </c>
      <c r="E9" s="10">
        <v>8</v>
      </c>
      <c r="F9" s="10">
        <v>1785</v>
      </c>
      <c r="G9" s="13">
        <v>523.20000000000005</v>
      </c>
      <c r="H9" s="13">
        <v>44</v>
      </c>
      <c r="I9" s="15">
        <f>G9-H9</f>
        <v>479.20000000000005</v>
      </c>
    </row>
    <row r="10" spans="1:9" ht="15.6">
      <c r="A10" s="8" t="s">
        <v>25</v>
      </c>
      <c r="B10" s="10"/>
      <c r="C10" s="9"/>
      <c r="D10" s="10"/>
      <c r="E10" s="10"/>
      <c r="F10" s="10"/>
      <c r="G10" s="13"/>
      <c r="H10" s="13"/>
      <c r="I10" s="15">
        <f t="shared" ref="I10:I11" si="1">G10-H10</f>
        <v>0</v>
      </c>
    </row>
    <row r="11" spans="1:9" ht="15.6">
      <c r="A11" s="8" t="s">
        <v>26</v>
      </c>
      <c r="B11" s="3"/>
      <c r="C11" s="9"/>
      <c r="D11" s="10"/>
      <c r="E11" s="10"/>
      <c r="F11" s="10"/>
      <c r="G11" s="13"/>
      <c r="H11" s="13"/>
      <c r="I11" s="15">
        <f t="shared" si="1"/>
        <v>0</v>
      </c>
    </row>
    <row r="12" spans="1:9" ht="15.6">
      <c r="A12" s="3"/>
      <c r="B12" s="3"/>
      <c r="C12" s="14"/>
      <c r="D12" s="3"/>
      <c r="E12" s="3"/>
      <c r="F12" s="3"/>
      <c r="G12" s="11"/>
      <c r="H12" s="11"/>
      <c r="I12" s="16"/>
    </row>
    <row r="13" spans="1:9" ht="15.6">
      <c r="A13" s="3"/>
      <c r="B13" s="3"/>
      <c r="C13" s="14"/>
      <c r="D13" s="3"/>
      <c r="E13" s="3"/>
      <c r="F13" s="3"/>
      <c r="G13" s="17">
        <f>SUM(G5:G12)</f>
        <v>1759.9</v>
      </c>
      <c r="H13" s="17">
        <f>SUM(H5:H11)</f>
        <v>135</v>
      </c>
      <c r="I13" s="18">
        <f>SUM(I5:I12)</f>
        <v>1624.9</v>
      </c>
    </row>
  </sheetData>
  <mergeCells count="2">
    <mergeCell ref="D1:D2"/>
    <mergeCell ref="E1:F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F007-B61E-4CE4-BF40-FA9CECB190BC}">
  <dimension ref="A1:I13"/>
  <sheetViews>
    <sheetView workbookViewId="0">
      <selection activeCell="A4" sqref="A4:XFD4"/>
    </sheetView>
  </sheetViews>
  <sheetFormatPr defaultRowHeight="14.4"/>
  <cols>
    <col min="1" max="1" width="14" customWidth="1"/>
    <col min="2" max="2" width="7.109375" customWidth="1"/>
    <col min="3" max="3" width="23.88671875" customWidth="1"/>
    <col min="4" max="6" width="7.44140625" customWidth="1"/>
    <col min="7" max="7" width="10.44140625" customWidth="1"/>
    <col min="8" max="8" width="10" customWidth="1"/>
    <col min="9" max="9" width="12.44140625" customWidth="1"/>
  </cols>
  <sheetData>
    <row r="1" spans="1:9" ht="14.4" customHeight="1">
      <c r="A1" s="1" t="s">
        <v>0</v>
      </c>
      <c r="B1" s="2">
        <f>SUM(D5:D11)</f>
        <v>2222</v>
      </c>
      <c r="C1" s="3"/>
      <c r="D1" s="23" t="s">
        <v>1</v>
      </c>
      <c r="E1" s="24">
        <v>45996</v>
      </c>
      <c r="F1" s="24"/>
      <c r="G1" s="22"/>
      <c r="H1" s="22"/>
      <c r="I1" s="22"/>
    </row>
    <row r="2" spans="1:9" ht="14.4" customHeight="1">
      <c r="A2" s="1" t="s">
        <v>2</v>
      </c>
      <c r="B2" s="4">
        <f>SUM(E5:E11)</f>
        <v>35</v>
      </c>
      <c r="C2" s="3"/>
      <c r="D2" s="23"/>
      <c r="E2" s="24"/>
      <c r="F2" s="24"/>
      <c r="G2" s="22"/>
      <c r="H2" s="22"/>
      <c r="I2" s="2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18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20" t="s">
        <v>9</v>
      </c>
      <c r="H4" s="20" t="s">
        <v>10</v>
      </c>
      <c r="I4" s="21" t="s">
        <v>11</v>
      </c>
    </row>
    <row r="5" spans="1:9" ht="15.6">
      <c r="A5" s="8" t="s">
        <v>20</v>
      </c>
      <c r="B5" s="3" t="s">
        <v>12</v>
      </c>
      <c r="C5" s="9" t="s">
        <v>17</v>
      </c>
      <c r="D5" s="10">
        <v>544</v>
      </c>
      <c r="E5" s="10">
        <v>7</v>
      </c>
      <c r="F5" s="10">
        <v>1906</v>
      </c>
      <c r="G5" s="11">
        <v>597</v>
      </c>
      <c r="H5" s="11">
        <v>38.5</v>
      </c>
      <c r="I5" s="12">
        <f t="shared" ref="I5:I11" si="0">G5-H5</f>
        <v>558.5</v>
      </c>
    </row>
    <row r="6" spans="1:9" ht="15.6">
      <c r="A6" s="8" t="s">
        <v>21</v>
      </c>
      <c r="B6" s="10" t="s">
        <v>13</v>
      </c>
      <c r="C6" s="3" t="s">
        <v>18</v>
      </c>
      <c r="D6" s="10">
        <v>432</v>
      </c>
      <c r="E6" s="10">
        <v>8</v>
      </c>
      <c r="F6" s="10">
        <v>1429</v>
      </c>
      <c r="G6" s="13">
        <v>456.3</v>
      </c>
      <c r="H6" s="13">
        <v>21</v>
      </c>
      <c r="I6" s="12">
        <f t="shared" si="0"/>
        <v>435.3</v>
      </c>
    </row>
    <row r="7" spans="1:9" ht="15.6">
      <c r="A7" s="8" t="s">
        <v>22</v>
      </c>
      <c r="B7" s="10"/>
      <c r="C7" s="9"/>
      <c r="D7" s="3"/>
      <c r="E7" s="3"/>
      <c r="F7" s="3"/>
      <c r="G7" s="11"/>
      <c r="H7" s="11"/>
      <c r="I7" s="12">
        <f t="shared" si="0"/>
        <v>0</v>
      </c>
    </row>
    <row r="8" spans="1:9" ht="15.6">
      <c r="A8" s="8" t="s">
        <v>23</v>
      </c>
      <c r="B8" s="3" t="s">
        <v>14</v>
      </c>
      <c r="C8" s="14" t="s">
        <v>19</v>
      </c>
      <c r="D8" s="3">
        <v>322</v>
      </c>
      <c r="E8" s="3">
        <v>7</v>
      </c>
      <c r="F8" s="3">
        <v>1858</v>
      </c>
      <c r="G8" s="11">
        <v>359.6</v>
      </c>
      <c r="H8" s="11">
        <v>31.5</v>
      </c>
      <c r="I8" s="12">
        <f t="shared" si="0"/>
        <v>328.1</v>
      </c>
    </row>
    <row r="9" spans="1:9" ht="15.6">
      <c r="A9" s="8" t="s">
        <v>24</v>
      </c>
      <c r="B9" s="10" t="s">
        <v>15</v>
      </c>
      <c r="C9" s="9" t="s">
        <v>17</v>
      </c>
      <c r="D9" s="10">
        <v>659</v>
      </c>
      <c r="E9" s="10">
        <v>8</v>
      </c>
      <c r="F9" s="10">
        <v>1784</v>
      </c>
      <c r="G9" s="13">
        <v>695.6</v>
      </c>
      <c r="H9" s="13">
        <v>44</v>
      </c>
      <c r="I9" s="12">
        <f t="shared" si="0"/>
        <v>651.6</v>
      </c>
    </row>
    <row r="10" spans="1:9" ht="15.6">
      <c r="A10" s="8" t="s">
        <v>25</v>
      </c>
      <c r="B10" s="10"/>
      <c r="C10" s="9"/>
      <c r="D10" s="10"/>
      <c r="E10" s="10"/>
      <c r="F10" s="10"/>
      <c r="G10" s="13"/>
      <c r="H10" s="13"/>
      <c r="I10" s="12">
        <f t="shared" si="0"/>
        <v>0</v>
      </c>
    </row>
    <row r="11" spans="1:9" ht="15.6">
      <c r="A11" s="8" t="s">
        <v>26</v>
      </c>
      <c r="B11" s="3" t="s">
        <v>16</v>
      </c>
      <c r="C11" s="9" t="s">
        <v>18</v>
      </c>
      <c r="D11" s="10">
        <v>265</v>
      </c>
      <c r="E11" s="10">
        <v>5</v>
      </c>
      <c r="F11" s="10">
        <v>1756</v>
      </c>
      <c r="G11" s="13">
        <v>301.2</v>
      </c>
      <c r="H11" s="13">
        <v>24.5</v>
      </c>
      <c r="I11" s="12">
        <f t="shared" si="0"/>
        <v>276.7</v>
      </c>
    </row>
    <row r="12" spans="1:9" ht="15.6">
      <c r="A12" s="3"/>
      <c r="B12" s="3"/>
      <c r="C12" s="14"/>
      <c r="D12" s="3"/>
      <c r="E12" s="3"/>
      <c r="F12" s="3"/>
      <c r="G12" s="11"/>
      <c r="H12" s="11"/>
      <c r="I12" s="16"/>
    </row>
    <row r="13" spans="1:9" ht="15.6">
      <c r="A13" s="3"/>
      <c r="B13" s="3"/>
      <c r="C13" s="14"/>
      <c r="D13" s="3"/>
      <c r="E13" s="3"/>
      <c r="F13" s="3"/>
      <c r="G13" s="17">
        <f>SUM(G5:G12)</f>
        <v>2409.6999999999998</v>
      </c>
      <c r="H13" s="17">
        <f>SUM(H5:H11)</f>
        <v>159.5</v>
      </c>
      <c r="I13" s="18">
        <f>SUM(I5:I12)</f>
        <v>2250.1999999999998</v>
      </c>
    </row>
  </sheetData>
  <mergeCells count="2">
    <mergeCell ref="D1:D2"/>
    <mergeCell ref="E1:F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D041-F8EB-4D23-9320-CC9E8E97215E}">
  <dimension ref="A1:I13"/>
  <sheetViews>
    <sheetView workbookViewId="0">
      <selection activeCell="A4" sqref="A4:XFD4"/>
    </sheetView>
  </sheetViews>
  <sheetFormatPr defaultRowHeight="14.4"/>
  <cols>
    <col min="1" max="1" width="14" customWidth="1"/>
    <col min="2" max="2" width="7.109375" customWidth="1"/>
    <col min="3" max="3" width="23.88671875" customWidth="1"/>
    <col min="4" max="6" width="7.44140625" customWidth="1"/>
    <col min="7" max="7" width="10.44140625" customWidth="1"/>
    <col min="8" max="8" width="10" customWidth="1"/>
    <col min="9" max="9" width="12.44140625" customWidth="1"/>
  </cols>
  <sheetData>
    <row r="1" spans="1:9" ht="14.4" customHeight="1">
      <c r="A1" s="1" t="s">
        <v>0</v>
      </c>
      <c r="B1" s="2">
        <f>SUM(D5:D11)</f>
        <v>2537</v>
      </c>
      <c r="C1" s="3"/>
      <c r="D1" s="23" t="s">
        <v>1</v>
      </c>
      <c r="E1" s="24">
        <v>45995</v>
      </c>
      <c r="F1" s="24"/>
      <c r="G1" s="22"/>
      <c r="H1" s="22"/>
      <c r="I1" s="22"/>
    </row>
    <row r="2" spans="1:9" ht="14.4" customHeight="1">
      <c r="A2" s="1" t="s">
        <v>2</v>
      </c>
      <c r="B2" s="4">
        <f>SUM(E5:E11)</f>
        <v>35</v>
      </c>
      <c r="C2" s="3"/>
      <c r="D2" s="23"/>
      <c r="E2" s="24"/>
      <c r="F2" s="24"/>
      <c r="G2" s="22"/>
      <c r="H2" s="22"/>
      <c r="I2" s="2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18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20" t="s">
        <v>9</v>
      </c>
      <c r="H4" s="20" t="s">
        <v>10</v>
      </c>
      <c r="I4" s="21" t="s">
        <v>11</v>
      </c>
    </row>
    <row r="5" spans="1:9" ht="15.6">
      <c r="A5" s="8" t="s">
        <v>20</v>
      </c>
      <c r="B5" s="3" t="s">
        <v>12</v>
      </c>
      <c r="C5" s="9" t="s">
        <v>17</v>
      </c>
      <c r="D5" s="10">
        <v>654</v>
      </c>
      <c r="E5" s="10">
        <v>6</v>
      </c>
      <c r="F5" s="10">
        <v>1905</v>
      </c>
      <c r="G5" s="11">
        <v>705.3</v>
      </c>
      <c r="H5" s="11">
        <v>33</v>
      </c>
      <c r="I5" s="12">
        <f t="shared" ref="I5:I11" si="0">G5-H5</f>
        <v>672.3</v>
      </c>
    </row>
    <row r="6" spans="1:9" ht="15.6">
      <c r="A6" s="8" t="s">
        <v>21</v>
      </c>
      <c r="B6" s="10" t="s">
        <v>13</v>
      </c>
      <c r="C6" s="3" t="s">
        <v>18</v>
      </c>
      <c r="D6" s="10">
        <v>389</v>
      </c>
      <c r="E6" s="10">
        <v>8</v>
      </c>
      <c r="F6" s="10">
        <v>1428</v>
      </c>
      <c r="G6" s="13">
        <v>422.1</v>
      </c>
      <c r="H6" s="13">
        <v>21</v>
      </c>
      <c r="I6" s="12">
        <f t="shared" si="0"/>
        <v>401.1</v>
      </c>
    </row>
    <row r="7" spans="1:9" ht="15.6">
      <c r="A7" s="8" t="s">
        <v>22</v>
      </c>
      <c r="B7" s="10"/>
      <c r="C7" s="9"/>
      <c r="D7" s="3"/>
      <c r="E7" s="3"/>
      <c r="F7" s="3"/>
      <c r="G7" s="11"/>
      <c r="H7" s="11"/>
      <c r="I7" s="12">
        <f>G7-H7</f>
        <v>0</v>
      </c>
    </row>
    <row r="8" spans="1:9" ht="15.6">
      <c r="A8" s="8" t="s">
        <v>23</v>
      </c>
      <c r="B8" s="3" t="s">
        <v>14</v>
      </c>
      <c r="C8" s="14" t="s">
        <v>19</v>
      </c>
      <c r="D8" s="3">
        <v>421</v>
      </c>
      <c r="E8" s="3">
        <v>7</v>
      </c>
      <c r="F8" s="3">
        <v>1857</v>
      </c>
      <c r="G8" s="11">
        <v>446</v>
      </c>
      <c r="H8" s="11">
        <v>31.5</v>
      </c>
      <c r="I8" s="12">
        <f>G8-H8</f>
        <v>414.5</v>
      </c>
    </row>
    <row r="9" spans="1:9" ht="15.6">
      <c r="A9" s="8" t="s">
        <v>24</v>
      </c>
      <c r="B9" s="10" t="s">
        <v>15</v>
      </c>
      <c r="C9" s="9" t="s">
        <v>17</v>
      </c>
      <c r="D9" s="10">
        <v>875</v>
      </c>
      <c r="E9" s="10">
        <v>9</v>
      </c>
      <c r="F9" s="10">
        <v>1783</v>
      </c>
      <c r="G9" s="13">
        <v>350.5</v>
      </c>
      <c r="H9" s="13">
        <v>49.5</v>
      </c>
      <c r="I9" s="15">
        <f>G9-H9</f>
        <v>301</v>
      </c>
    </row>
    <row r="10" spans="1:9" ht="15.6">
      <c r="A10" s="8" t="s">
        <v>25</v>
      </c>
      <c r="B10" s="3" t="s">
        <v>16</v>
      </c>
      <c r="C10" s="9" t="s">
        <v>18</v>
      </c>
      <c r="D10" s="10">
        <v>198</v>
      </c>
      <c r="E10" s="10">
        <v>5</v>
      </c>
      <c r="F10" s="10">
        <v>1888</v>
      </c>
      <c r="G10" s="13">
        <v>224</v>
      </c>
      <c r="H10" s="13">
        <v>24.5</v>
      </c>
      <c r="I10" s="12">
        <f t="shared" si="0"/>
        <v>199.5</v>
      </c>
    </row>
    <row r="11" spans="1:9" ht="15.6">
      <c r="A11" s="8" t="s">
        <v>26</v>
      </c>
      <c r="B11" s="3"/>
      <c r="C11" s="9"/>
      <c r="D11" s="10"/>
      <c r="E11" s="10"/>
      <c r="F11" s="10"/>
      <c r="G11" s="13"/>
      <c r="H11" s="13"/>
      <c r="I11" s="15">
        <f t="shared" si="0"/>
        <v>0</v>
      </c>
    </row>
    <row r="12" spans="1:9" ht="15.6">
      <c r="A12" s="3"/>
      <c r="B12" s="3"/>
      <c r="C12" s="14"/>
      <c r="D12" s="3"/>
      <c r="E12" s="3"/>
      <c r="F12" s="3"/>
      <c r="G12" s="11"/>
      <c r="H12" s="11"/>
      <c r="I12" s="16"/>
    </row>
    <row r="13" spans="1:9" ht="15.6">
      <c r="A13" s="3"/>
      <c r="B13" s="3"/>
      <c r="C13" s="14"/>
      <c r="D13" s="3"/>
      <c r="E13" s="3"/>
      <c r="F13" s="3"/>
      <c r="G13" s="17">
        <f>SUM(G5:G12)</f>
        <v>2147.9</v>
      </c>
      <c r="H13" s="17">
        <f>SUM(H5:H11)</f>
        <v>159.5</v>
      </c>
      <c r="I13" s="18">
        <f>SUM(I5:I12)</f>
        <v>1988.4</v>
      </c>
    </row>
  </sheetData>
  <mergeCells count="2">
    <mergeCell ref="D1:D2"/>
    <mergeCell ref="E1:F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38C2-2482-413D-8C91-8DFAC492917C}">
  <dimension ref="A1:I13"/>
  <sheetViews>
    <sheetView workbookViewId="0">
      <selection activeCell="J21" sqref="J21"/>
    </sheetView>
  </sheetViews>
  <sheetFormatPr defaultRowHeight="14.4"/>
  <cols>
    <col min="1" max="1" width="14" customWidth="1"/>
    <col min="2" max="2" width="7.109375" customWidth="1"/>
    <col min="3" max="3" width="23.88671875" customWidth="1"/>
    <col min="4" max="6" width="7.44140625" customWidth="1"/>
    <col min="7" max="7" width="10.44140625" customWidth="1"/>
    <col min="8" max="8" width="10" customWidth="1"/>
    <col min="9" max="9" width="12.44140625" customWidth="1"/>
  </cols>
  <sheetData>
    <row r="1" spans="1:9" ht="14.4" customHeight="1">
      <c r="A1" s="1" t="s">
        <v>0</v>
      </c>
      <c r="B1" s="2">
        <f>SUM(D5:D11)</f>
        <v>1600</v>
      </c>
      <c r="C1" s="3"/>
      <c r="D1" s="23" t="s">
        <v>1</v>
      </c>
      <c r="E1" s="24">
        <v>45994</v>
      </c>
      <c r="F1" s="24"/>
      <c r="G1" s="22"/>
      <c r="H1" s="22"/>
      <c r="I1" s="22"/>
    </row>
    <row r="2" spans="1:9" ht="14.4" customHeight="1">
      <c r="A2" s="1" t="s">
        <v>2</v>
      </c>
      <c r="B2" s="4">
        <f>SUM(E5:E11)</f>
        <v>35</v>
      </c>
      <c r="C2" s="3"/>
      <c r="D2" s="23"/>
      <c r="E2" s="24"/>
      <c r="F2" s="24"/>
      <c r="G2" s="22"/>
      <c r="H2" s="22"/>
      <c r="I2" s="2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18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20" t="s">
        <v>9</v>
      </c>
      <c r="H4" s="20" t="s">
        <v>10</v>
      </c>
      <c r="I4" s="21" t="s">
        <v>11</v>
      </c>
    </row>
    <row r="5" spans="1:9" ht="15.6">
      <c r="A5" s="8" t="s">
        <v>20</v>
      </c>
      <c r="B5" s="3" t="s">
        <v>12</v>
      </c>
      <c r="C5" s="9" t="s">
        <v>17</v>
      </c>
      <c r="D5" s="10">
        <v>443</v>
      </c>
      <c r="E5" s="10">
        <v>7</v>
      </c>
      <c r="F5" s="10">
        <v>1904</v>
      </c>
      <c r="G5" s="11">
        <v>498</v>
      </c>
      <c r="H5" s="11">
        <v>38.5</v>
      </c>
      <c r="I5" s="12">
        <f t="shared" ref="I5:I11" si="0">G5-H5</f>
        <v>459.5</v>
      </c>
    </row>
    <row r="6" spans="1:9" ht="15.6">
      <c r="A6" s="8" t="s">
        <v>21</v>
      </c>
      <c r="B6" s="10" t="s">
        <v>13</v>
      </c>
      <c r="C6" s="3" t="s">
        <v>18</v>
      </c>
      <c r="D6" s="10">
        <v>366</v>
      </c>
      <c r="E6" s="10">
        <v>6</v>
      </c>
      <c r="F6" s="10">
        <v>1427</v>
      </c>
      <c r="G6" s="13">
        <v>379</v>
      </c>
      <c r="H6" s="13">
        <v>21</v>
      </c>
      <c r="I6" s="12">
        <f t="shared" si="0"/>
        <v>358</v>
      </c>
    </row>
    <row r="7" spans="1:9" ht="15.6">
      <c r="A7" s="8" t="s">
        <v>22</v>
      </c>
      <c r="B7" s="10"/>
      <c r="C7" s="9"/>
      <c r="D7" s="3"/>
      <c r="E7" s="3"/>
      <c r="F7" s="3"/>
      <c r="G7" s="11"/>
      <c r="H7" s="11"/>
      <c r="I7" s="12">
        <f>G7-H7</f>
        <v>0</v>
      </c>
    </row>
    <row r="8" spans="1:9" ht="15.6">
      <c r="A8" s="8" t="s">
        <v>23</v>
      </c>
      <c r="B8" s="3" t="s">
        <v>14</v>
      </c>
      <c r="C8" s="14" t="s">
        <v>19</v>
      </c>
      <c r="D8" s="3">
        <v>311</v>
      </c>
      <c r="E8" s="3">
        <v>7</v>
      </c>
      <c r="F8" s="3">
        <v>1856</v>
      </c>
      <c r="G8" s="11">
        <v>356</v>
      </c>
      <c r="H8" s="11">
        <v>31.5</v>
      </c>
      <c r="I8" s="12">
        <f>G8-H8</f>
        <v>324.5</v>
      </c>
    </row>
    <row r="9" spans="1:9" ht="15.6">
      <c r="A9" s="8" t="s">
        <v>24</v>
      </c>
      <c r="B9" s="10" t="s">
        <v>15</v>
      </c>
      <c r="C9" s="9" t="s">
        <v>17</v>
      </c>
      <c r="D9" s="10">
        <v>245</v>
      </c>
      <c r="E9" s="10">
        <v>8</v>
      </c>
      <c r="F9" s="10">
        <v>1782</v>
      </c>
      <c r="G9" s="13">
        <v>350.5</v>
      </c>
      <c r="H9" s="13">
        <v>44</v>
      </c>
      <c r="I9" s="15">
        <f>G9-H9</f>
        <v>306.5</v>
      </c>
    </row>
    <row r="10" spans="1:9" ht="15.6">
      <c r="A10" s="8" t="s">
        <v>25</v>
      </c>
      <c r="B10" s="3" t="s">
        <v>16</v>
      </c>
      <c r="C10" s="9" t="s">
        <v>18</v>
      </c>
      <c r="D10" s="10">
        <v>235</v>
      </c>
      <c r="E10" s="10">
        <v>7</v>
      </c>
      <c r="F10" s="10">
        <v>1887</v>
      </c>
      <c r="G10" s="13">
        <v>275</v>
      </c>
      <c r="H10" s="13">
        <v>24.5</v>
      </c>
      <c r="I10" s="12">
        <f t="shared" si="0"/>
        <v>250.5</v>
      </c>
    </row>
    <row r="11" spans="1:9" ht="15.6">
      <c r="A11" s="8" t="s">
        <v>26</v>
      </c>
      <c r="B11" s="3"/>
      <c r="C11" s="9"/>
      <c r="D11" s="10"/>
      <c r="E11" s="10"/>
      <c r="F11" s="10"/>
      <c r="G11" s="13"/>
      <c r="H11" s="13"/>
      <c r="I11" s="15">
        <f t="shared" si="0"/>
        <v>0</v>
      </c>
    </row>
    <row r="12" spans="1:9" ht="15.6">
      <c r="A12" s="3"/>
      <c r="B12" s="3"/>
      <c r="C12" s="14"/>
      <c r="D12" s="3"/>
      <c r="E12" s="3"/>
      <c r="F12" s="3"/>
      <c r="G12" s="11"/>
      <c r="H12" s="11"/>
      <c r="I12" s="16"/>
    </row>
    <row r="13" spans="1:9" ht="15.6">
      <c r="A13" s="3"/>
      <c r="B13" s="3"/>
      <c r="C13" s="14"/>
      <c r="D13" s="3"/>
      <c r="E13" s="3"/>
      <c r="F13" s="3"/>
      <c r="G13" s="17">
        <f>SUM(G5:G12)</f>
        <v>1858.5</v>
      </c>
      <c r="H13" s="17">
        <f>SUM(H5:H11)</f>
        <v>159.5</v>
      </c>
      <c r="I13" s="18">
        <f>SUM(I5:I12)</f>
        <v>1699</v>
      </c>
    </row>
  </sheetData>
  <mergeCells count="2">
    <mergeCell ref="D1:D2"/>
    <mergeCell ref="E1:F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4033-7288-4001-AC0D-D33BCEC52DE6}">
  <dimension ref="A1:I13"/>
  <sheetViews>
    <sheetView workbookViewId="0">
      <selection activeCell="H5" sqref="H5:H11"/>
    </sheetView>
  </sheetViews>
  <sheetFormatPr defaultRowHeight="14.4"/>
  <cols>
    <col min="1" max="1" width="14" customWidth="1"/>
    <col min="2" max="2" width="7.109375" customWidth="1"/>
    <col min="3" max="3" width="23.88671875" customWidth="1"/>
    <col min="4" max="6" width="7.44140625" customWidth="1"/>
    <col min="7" max="7" width="10.44140625" customWidth="1"/>
    <col min="8" max="8" width="10" customWidth="1"/>
    <col min="9" max="9" width="12.44140625" customWidth="1"/>
  </cols>
  <sheetData>
    <row r="1" spans="1:9" ht="14.4" customHeight="1">
      <c r="A1" s="1" t="s">
        <v>0</v>
      </c>
      <c r="B1" s="2">
        <f>SUM(Table134567101112131415161718192021222324252627282930313233343536373839404142434445464748495052535455565758596061626364656667686970717273747576777879808182838485878889909192939495969798991001011021031041051061071081091101111121131141151161171181191201612[Kupona])</f>
        <v>1279</v>
      </c>
      <c r="C1" s="3"/>
      <c r="D1" s="23" t="s">
        <v>1</v>
      </c>
      <c r="E1" s="24">
        <v>45993</v>
      </c>
      <c r="F1" s="24"/>
      <c r="G1" s="22"/>
      <c r="H1" s="22"/>
      <c r="I1" s="22"/>
    </row>
    <row r="2" spans="1:9" ht="14.4" customHeight="1">
      <c r="A2" s="1" t="s">
        <v>2</v>
      </c>
      <c r="B2" s="4">
        <f>SUM(E5:E11)</f>
        <v>35</v>
      </c>
      <c r="C2" s="3"/>
      <c r="D2" s="23"/>
      <c r="E2" s="24"/>
      <c r="F2" s="24"/>
      <c r="G2" s="22"/>
      <c r="H2" s="22"/>
      <c r="I2" s="2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18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20" t="s">
        <v>9</v>
      </c>
      <c r="H4" s="20" t="s">
        <v>10</v>
      </c>
      <c r="I4" s="21" t="s">
        <v>11</v>
      </c>
    </row>
    <row r="5" spans="1:9" ht="15.6">
      <c r="A5" s="8" t="s">
        <v>20</v>
      </c>
      <c r="B5" s="3" t="s">
        <v>12</v>
      </c>
      <c r="C5" s="9" t="s">
        <v>17</v>
      </c>
      <c r="D5" s="10">
        <v>245</v>
      </c>
      <c r="E5" s="10">
        <v>7</v>
      </c>
      <c r="F5" s="10">
        <v>1903</v>
      </c>
      <c r="G5" s="11">
        <v>348.5</v>
      </c>
      <c r="H5" s="11">
        <v>38.5</v>
      </c>
      <c r="I5" s="12">
        <f t="shared" ref="I5:I11" si="0">G5-H5</f>
        <v>310</v>
      </c>
    </row>
    <row r="6" spans="1:9" ht="15.6">
      <c r="A6" s="8" t="s">
        <v>21</v>
      </c>
      <c r="B6" s="10" t="s">
        <v>13</v>
      </c>
      <c r="C6" s="3" t="s">
        <v>18</v>
      </c>
      <c r="D6" s="10">
        <v>220</v>
      </c>
      <c r="E6" s="10">
        <v>6</v>
      </c>
      <c r="F6" s="10">
        <v>1426</v>
      </c>
      <c r="G6" s="13">
        <v>248</v>
      </c>
      <c r="H6" s="13">
        <v>21</v>
      </c>
      <c r="I6" s="12">
        <f t="shared" si="0"/>
        <v>227</v>
      </c>
    </row>
    <row r="7" spans="1:9" ht="15.6">
      <c r="A7" s="8" t="s">
        <v>22</v>
      </c>
      <c r="B7" s="10"/>
      <c r="C7" s="9"/>
      <c r="D7" s="3"/>
      <c r="E7" s="3"/>
      <c r="F7" s="3"/>
      <c r="G7" s="11"/>
      <c r="H7" s="11"/>
      <c r="I7" s="12">
        <f>G7-H7</f>
        <v>0</v>
      </c>
    </row>
    <row r="8" spans="1:9" ht="15.6">
      <c r="A8" s="8" t="s">
        <v>23</v>
      </c>
      <c r="B8" s="3" t="s">
        <v>14</v>
      </c>
      <c r="C8" s="14" t="s">
        <v>19</v>
      </c>
      <c r="D8" s="3">
        <v>311</v>
      </c>
      <c r="E8" s="3">
        <v>7</v>
      </c>
      <c r="F8" s="3">
        <v>1855</v>
      </c>
      <c r="G8" s="11">
        <v>356</v>
      </c>
      <c r="H8" s="11">
        <v>31.5</v>
      </c>
      <c r="I8" s="12">
        <f>G8-H8</f>
        <v>324.5</v>
      </c>
    </row>
    <row r="9" spans="1:9" ht="15.6">
      <c r="A9" s="8" t="s">
        <v>24</v>
      </c>
      <c r="B9" s="10" t="s">
        <v>15</v>
      </c>
      <c r="C9" s="9" t="s">
        <v>17</v>
      </c>
      <c r="D9" s="10">
        <v>267</v>
      </c>
      <c r="E9" s="10">
        <v>8</v>
      </c>
      <c r="F9" s="10">
        <v>1781</v>
      </c>
      <c r="G9" s="13">
        <v>350.5</v>
      </c>
      <c r="H9" s="13">
        <v>44</v>
      </c>
      <c r="I9" s="15">
        <f>G9-H9</f>
        <v>306.5</v>
      </c>
    </row>
    <row r="10" spans="1:9" ht="15.6">
      <c r="A10" s="8" t="s">
        <v>25</v>
      </c>
      <c r="B10" s="3" t="s">
        <v>16</v>
      </c>
      <c r="C10" s="9" t="s">
        <v>18</v>
      </c>
      <c r="D10" s="10">
        <v>236</v>
      </c>
      <c r="E10" s="10">
        <v>7</v>
      </c>
      <c r="F10" s="10">
        <v>1886</v>
      </c>
      <c r="G10" s="13">
        <v>275</v>
      </c>
      <c r="H10" s="13">
        <v>24.5</v>
      </c>
      <c r="I10" s="12">
        <f t="shared" si="0"/>
        <v>250.5</v>
      </c>
    </row>
    <row r="11" spans="1:9" ht="15.6">
      <c r="A11" s="8" t="s">
        <v>26</v>
      </c>
      <c r="B11" s="3"/>
      <c r="C11" s="9"/>
      <c r="D11" s="10"/>
      <c r="E11" s="10"/>
      <c r="F11" s="10"/>
      <c r="G11" s="13"/>
      <c r="H11" s="13"/>
      <c r="I11" s="15">
        <f t="shared" si="0"/>
        <v>0</v>
      </c>
    </row>
    <row r="12" spans="1:9" ht="15.6">
      <c r="A12" s="3"/>
      <c r="B12" s="3"/>
      <c r="C12" s="14"/>
      <c r="D12" s="3"/>
      <c r="E12" s="3"/>
      <c r="F12" s="3"/>
      <c r="G12" s="11"/>
      <c r="H12" s="11"/>
      <c r="I12" s="16"/>
    </row>
    <row r="13" spans="1:9" ht="15.6">
      <c r="A13" s="3"/>
      <c r="B13" s="3"/>
      <c r="C13" s="14"/>
      <c r="D13" s="3"/>
      <c r="E13" s="3"/>
      <c r="F13" s="3"/>
      <c r="G13" s="17">
        <f>SUM(G5:G12)</f>
        <v>1578</v>
      </c>
      <c r="H13" s="17">
        <f>SUM(H5:H11)</f>
        <v>159.5</v>
      </c>
      <c r="I13" s="18">
        <f>SUM(I5:I12)</f>
        <v>1418.5</v>
      </c>
    </row>
  </sheetData>
  <mergeCells count="2">
    <mergeCell ref="D1:D2"/>
    <mergeCell ref="E1:F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2AB9-8AAE-4D4E-BC63-78A9A36A34FC}">
  <dimension ref="A1:I13"/>
  <sheetViews>
    <sheetView tabSelected="1" workbookViewId="0">
      <selection activeCell="T41" sqref="T41"/>
    </sheetView>
  </sheetViews>
  <sheetFormatPr defaultRowHeight="14.4"/>
  <cols>
    <col min="1" max="1" width="14" customWidth="1"/>
    <col min="2" max="2" width="7.109375" customWidth="1"/>
    <col min="3" max="3" width="23.88671875" customWidth="1"/>
    <col min="4" max="6" width="7.44140625" customWidth="1"/>
    <col min="7" max="7" width="10.44140625" customWidth="1"/>
    <col min="8" max="8" width="10" customWidth="1"/>
    <col min="9" max="9" width="12.44140625" customWidth="1"/>
  </cols>
  <sheetData>
    <row r="1" spans="1:9" ht="14.4" customHeight="1">
      <c r="A1" s="1" t="s">
        <v>0</v>
      </c>
      <c r="B1" s="2">
        <f>SUM(Table134567101112131415161718192021222324252627282930313233343536373839404142434445464748495052535455565758596061626364656667686970717273747576777879808182838485878889909192939495969798991001011021031041051061071081091101111121131141151161171181191201618[Kupona])</f>
        <v>1862</v>
      </c>
      <c r="C1" s="3"/>
      <c r="D1" s="23" t="s">
        <v>1</v>
      </c>
      <c r="E1" s="24">
        <v>45992</v>
      </c>
      <c r="F1" s="24"/>
      <c r="G1" s="22"/>
      <c r="H1" s="22"/>
      <c r="I1" s="22"/>
    </row>
    <row r="2" spans="1:9" ht="14.4" customHeight="1">
      <c r="A2" s="1" t="s">
        <v>2</v>
      </c>
      <c r="B2" s="4">
        <f>SUM(E5:E11)</f>
        <v>35</v>
      </c>
      <c r="C2" s="3"/>
      <c r="D2" s="23"/>
      <c r="E2" s="24"/>
      <c r="F2" s="24"/>
      <c r="G2" s="22"/>
      <c r="H2" s="22"/>
      <c r="I2" s="2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18">
      <c r="A4" s="5" t="s">
        <v>3</v>
      </c>
      <c r="B4" s="5" t="s">
        <v>4</v>
      </c>
      <c r="C4" s="5" t="s">
        <v>27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7" t="s">
        <v>11</v>
      </c>
    </row>
    <row r="5" spans="1:9" ht="15.6">
      <c r="A5" s="8" t="s">
        <v>20</v>
      </c>
      <c r="B5" s="3" t="s">
        <v>12</v>
      </c>
      <c r="C5" s="9" t="s">
        <v>17</v>
      </c>
      <c r="D5" s="10">
        <v>495</v>
      </c>
      <c r="E5" s="10">
        <v>7</v>
      </c>
      <c r="F5" s="10">
        <v>1902</v>
      </c>
      <c r="G5" s="11">
        <v>659</v>
      </c>
      <c r="H5" s="11">
        <v>38.5</v>
      </c>
      <c r="I5" s="12">
        <f t="shared" ref="I5:I11" si="0">G5-H5</f>
        <v>620.5</v>
      </c>
    </row>
    <row r="6" spans="1:9" ht="15.6">
      <c r="A6" s="8" t="s">
        <v>21</v>
      </c>
      <c r="B6" s="10" t="s">
        <v>13</v>
      </c>
      <c r="C6" s="3" t="s">
        <v>18</v>
      </c>
      <c r="D6" s="10">
        <v>196</v>
      </c>
      <c r="E6" s="10">
        <v>6</v>
      </c>
      <c r="F6" s="10">
        <v>1425</v>
      </c>
      <c r="G6" s="13">
        <v>264</v>
      </c>
      <c r="H6" s="13">
        <v>21</v>
      </c>
      <c r="I6" s="12">
        <f t="shared" si="0"/>
        <v>243</v>
      </c>
    </row>
    <row r="7" spans="1:9" ht="15.6">
      <c r="A7" s="8" t="s">
        <v>22</v>
      </c>
      <c r="B7" s="10"/>
      <c r="C7" s="9"/>
      <c r="D7" s="3"/>
      <c r="E7" s="3"/>
      <c r="F7" s="3"/>
      <c r="G7" s="11"/>
      <c r="H7" s="11"/>
      <c r="I7" s="12">
        <f>G7-H7</f>
        <v>0</v>
      </c>
    </row>
    <row r="8" spans="1:9" ht="15.6">
      <c r="A8" s="8" t="s">
        <v>23</v>
      </c>
      <c r="B8" s="3" t="s">
        <v>14</v>
      </c>
      <c r="C8" s="14" t="s">
        <v>19</v>
      </c>
      <c r="D8" s="3">
        <v>479</v>
      </c>
      <c r="E8" s="3">
        <v>7</v>
      </c>
      <c r="F8" s="3">
        <v>1854</v>
      </c>
      <c r="G8" s="11">
        <v>524.6</v>
      </c>
      <c r="H8" s="11">
        <v>31.5</v>
      </c>
      <c r="I8" s="12">
        <f>G8-H8</f>
        <v>493.1</v>
      </c>
    </row>
    <row r="9" spans="1:9" ht="15.6">
      <c r="A9" s="8" t="s">
        <v>24</v>
      </c>
      <c r="B9" s="10" t="s">
        <v>15</v>
      </c>
      <c r="C9" s="9" t="s">
        <v>17</v>
      </c>
      <c r="D9" s="10">
        <v>455</v>
      </c>
      <c r="E9" s="10">
        <v>8</v>
      </c>
      <c r="F9" s="10">
        <v>1780</v>
      </c>
      <c r="G9" s="13">
        <v>488.9</v>
      </c>
      <c r="H9" s="13">
        <v>44</v>
      </c>
      <c r="I9" s="15">
        <f>G9-H9</f>
        <v>444.9</v>
      </c>
    </row>
    <row r="10" spans="1:9" ht="15.6">
      <c r="A10" s="8" t="s">
        <v>25</v>
      </c>
      <c r="B10" s="3" t="s">
        <v>16</v>
      </c>
      <c r="C10" s="9" t="s">
        <v>18</v>
      </c>
      <c r="D10" s="10">
        <v>237</v>
      </c>
      <c r="E10" s="10">
        <v>7</v>
      </c>
      <c r="F10" s="10">
        <v>1885</v>
      </c>
      <c r="G10" s="13">
        <v>369.7</v>
      </c>
      <c r="H10" s="13">
        <v>24.5</v>
      </c>
      <c r="I10" s="12">
        <f t="shared" si="0"/>
        <v>345.2</v>
      </c>
    </row>
    <row r="11" spans="1:9" ht="15.6">
      <c r="A11" s="8" t="s">
        <v>26</v>
      </c>
      <c r="B11" s="3"/>
      <c r="C11" s="9"/>
      <c r="D11" s="10"/>
      <c r="E11" s="10"/>
      <c r="F11" s="10"/>
      <c r="G11" s="13"/>
      <c r="H11" s="13"/>
      <c r="I11" s="15">
        <f t="shared" si="0"/>
        <v>0</v>
      </c>
    </row>
    <row r="12" spans="1:9" ht="15.6">
      <c r="A12" s="3"/>
      <c r="B12" s="3"/>
      <c r="C12" s="14"/>
      <c r="D12" s="3"/>
      <c r="E12" s="3"/>
      <c r="F12" s="3"/>
      <c r="G12" s="11"/>
      <c r="H12" s="11"/>
      <c r="I12" s="16"/>
    </row>
    <row r="13" spans="1:9" ht="15.6">
      <c r="A13" s="3"/>
      <c r="B13" s="3"/>
      <c r="C13" s="14"/>
      <c r="D13" s="3"/>
      <c r="E13" s="3"/>
      <c r="F13" s="3"/>
      <c r="G13" s="17">
        <f>SUM(G5:G12)</f>
        <v>2306.1999999999998</v>
      </c>
      <c r="H13" s="17">
        <f>SUM(H5:H11)</f>
        <v>159.5</v>
      </c>
      <c r="I13" s="18">
        <f>SUM(I5:I12)</f>
        <v>2146.6999999999998</v>
      </c>
    </row>
  </sheetData>
  <mergeCells count="2">
    <mergeCell ref="D1:D2"/>
    <mergeCell ref="E1:F2"/>
  </mergeCells>
  <phoneticPr fontId="1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13.12.2025                     </vt:lpstr>
      <vt:lpstr>12.12.2025                     </vt:lpstr>
      <vt:lpstr>11.12.2025                     </vt:lpstr>
      <vt:lpstr>10.12.2025                     </vt:lpstr>
      <vt:lpstr>09.12.2025                     </vt:lpstr>
      <vt:lpstr>08.12.2025                     </vt:lpstr>
      <vt:lpstr>06.12.2025                     </vt:lpstr>
      <vt:lpstr>05.12.2025                     </vt:lpstr>
      <vt:lpstr>04.12.2025                     </vt:lpstr>
      <vt:lpstr>03.12.2025                     </vt:lpstr>
      <vt:lpstr>02.12.2025                     </vt:lpstr>
      <vt:lpstr>01.12.2025                  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ELONA</dc:creator>
  <cp:lastModifiedBy>Elona Heta</cp:lastModifiedBy>
  <dcterms:created xsi:type="dcterms:W3CDTF">2025-12-25T12:01:29Z</dcterms:created>
  <dcterms:modified xsi:type="dcterms:W3CDTF">2026-01-12T19:08:00Z</dcterms:modified>
</cp:coreProperties>
</file>